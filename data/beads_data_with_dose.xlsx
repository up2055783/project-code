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egankeating/Documents/project - code/data/"/>
    </mc:Choice>
  </mc:AlternateContent>
  <xr:revisionPtr revIDLastSave="0" documentId="13_ncr:2001_{4EB90F60-5AC1-724C-8C97-29C61E352B78}" xr6:coauthVersionLast="47" xr6:coauthVersionMax="47" xr10:uidLastSave="{00000000-0000-0000-0000-000000000000}"/>
  <bookViews>
    <workbookView xWindow="0" yWindow="500" windowWidth="25600" windowHeight="14080" xr2:uid="{5B845B54-4DE1-F345-A01E-CF98327105E7}"/>
  </bookViews>
  <sheets>
    <sheet name="beads_data_with_dose" sheetId="1" r:id="rId1"/>
  </sheets>
  <definedNames>
    <definedName name="_xlchart.v1.0" hidden="1">beads_data_with_dose!$V$18:$V$28</definedName>
    <definedName name="_xlchart.v1.1" hidden="1">beads_data_with_dose!$W$17</definedName>
    <definedName name="_xlchart.v1.2" hidden="1">beads_data_with_dose!$W$18:$W$28</definedName>
    <definedName name="_xlchart.v1.3" hidden="1">beads_data_with_dose!$V$18:$V$28</definedName>
    <definedName name="_xlchart.v1.4" hidden="1">beads_data_with_dose!$W$17</definedName>
    <definedName name="_xlchart.v1.5" hidden="1">beads_data_with_dose!$W$18:$W$28</definedName>
    <definedName name="_xlchart.v1.6" hidden="1">beads_data_with_dose!$V$18:$V$28</definedName>
    <definedName name="_xlchart.v1.7" hidden="1">beads_data_with_dose!$W$17</definedName>
    <definedName name="_xlchart.v1.8" hidden="1">beads_data_with_dose!$W$18:$W$28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49" i="1" l="1"/>
  <c r="Y448" i="1"/>
  <c r="Y447" i="1"/>
  <c r="Y446" i="1"/>
  <c r="Y445" i="1"/>
  <c r="Y444" i="1"/>
  <c r="Y443" i="1"/>
  <c r="Y442" i="1"/>
  <c r="Y441" i="1"/>
  <c r="Z401" i="1"/>
  <c r="Z400" i="1"/>
  <c r="Z399" i="1"/>
  <c r="Z398" i="1"/>
  <c r="Z397" i="1"/>
  <c r="Z396" i="1"/>
  <c r="Z395" i="1"/>
  <c r="X359" i="1"/>
  <c r="X358" i="1"/>
  <c r="X357" i="1"/>
  <c r="X356" i="1"/>
  <c r="X355" i="1"/>
  <c r="X354" i="1"/>
  <c r="X353" i="1"/>
  <c r="X352" i="1"/>
  <c r="X351" i="1"/>
  <c r="X297" i="1"/>
  <c r="X296" i="1"/>
  <c r="X295" i="1"/>
  <c r="X294" i="1"/>
  <c r="X293" i="1"/>
  <c r="X292" i="1"/>
  <c r="X291" i="1"/>
  <c r="X290" i="1"/>
  <c r="X289" i="1"/>
  <c r="X288" i="1"/>
  <c r="X287" i="1"/>
  <c r="W241" i="1"/>
  <c r="W240" i="1"/>
  <c r="W239" i="1"/>
  <c r="W238" i="1"/>
  <c r="W237" i="1"/>
  <c r="W236" i="1"/>
  <c r="W235" i="1"/>
  <c r="W234" i="1"/>
  <c r="W233" i="1"/>
  <c r="W232" i="1"/>
  <c r="W231" i="1"/>
  <c r="X186" i="1"/>
  <c r="W186" i="1"/>
  <c r="X194" i="1"/>
  <c r="X193" i="1"/>
  <c r="X192" i="1"/>
  <c r="X191" i="1"/>
  <c r="X190" i="1"/>
  <c r="X189" i="1"/>
  <c r="X188" i="1"/>
  <c r="X187" i="1"/>
  <c r="X154" i="1"/>
  <c r="V117" i="1"/>
  <c r="V116" i="1"/>
  <c r="V115" i="1"/>
  <c r="V114" i="1"/>
  <c r="V113" i="1"/>
  <c r="V112" i="1"/>
  <c r="V111" i="1"/>
  <c r="V110" i="1"/>
  <c r="V109" i="1"/>
  <c r="X65" i="1"/>
  <c r="X64" i="1"/>
  <c r="X63" i="1"/>
  <c r="X62" i="1"/>
  <c r="X61" i="1"/>
  <c r="X60" i="1"/>
  <c r="X59" i="1"/>
  <c r="X58" i="1"/>
  <c r="X57" i="1"/>
  <c r="X56" i="1"/>
  <c r="X55" i="1"/>
  <c r="X18" i="1"/>
  <c r="X28" i="1"/>
  <c r="X27" i="1"/>
  <c r="X26" i="1"/>
  <c r="X25" i="1"/>
  <c r="X24" i="1"/>
  <c r="Y7" i="1"/>
  <c r="Y6" i="1"/>
  <c r="Y5" i="1"/>
  <c r="Y4" i="1"/>
  <c r="Y3" i="1"/>
  <c r="X446" i="1"/>
  <c r="X442" i="1"/>
  <c r="S462" i="1"/>
  <c r="X441" i="1" s="1"/>
  <c r="S457" i="1"/>
  <c r="S452" i="1"/>
  <c r="S447" i="1"/>
  <c r="S442" i="1"/>
  <c r="S437" i="1"/>
  <c r="X445" i="1" s="1"/>
  <c r="S432" i="1"/>
  <c r="X444" i="1" s="1"/>
  <c r="S427" i="1"/>
  <c r="X443" i="1" s="1"/>
  <c r="S422" i="1"/>
  <c r="X397" i="1"/>
  <c r="X396" i="1"/>
  <c r="X395" i="1"/>
  <c r="S417" i="1"/>
  <c r="X401" i="1" s="1"/>
  <c r="S412" i="1"/>
  <c r="X400" i="1" s="1"/>
  <c r="S407" i="1"/>
  <c r="X399" i="1" s="1"/>
  <c r="S402" i="1"/>
  <c r="X398" i="1" s="1"/>
  <c r="S397" i="1"/>
  <c r="S392" i="1"/>
  <c r="S387" i="1"/>
  <c r="V359" i="1"/>
  <c r="V358" i="1"/>
  <c r="V357" i="1"/>
  <c r="V356" i="1"/>
  <c r="V355" i="1"/>
  <c r="V353" i="1"/>
  <c r="S382" i="1"/>
  <c r="S377" i="1"/>
  <c r="S372" i="1"/>
  <c r="S367" i="1"/>
  <c r="S362" i="1"/>
  <c r="S357" i="1"/>
  <c r="V354" i="1" s="1"/>
  <c r="S352" i="1"/>
  <c r="S347" i="1"/>
  <c r="V352" i="1" s="1"/>
  <c r="S342" i="1"/>
  <c r="V351" i="1" s="1"/>
  <c r="S337" i="1"/>
  <c r="W287" i="1" s="1"/>
  <c r="S332" i="1"/>
  <c r="W297" i="1" s="1"/>
  <c r="S327" i="1"/>
  <c r="W296" i="1" s="1"/>
  <c r="W295" i="1"/>
  <c r="S322" i="1"/>
  <c r="W294" i="1"/>
  <c r="S317" i="1"/>
  <c r="S312" i="1"/>
  <c r="W293" i="1" s="1"/>
  <c r="S307" i="1"/>
  <c r="W292" i="1" s="1"/>
  <c r="S302" i="1"/>
  <c r="W291" i="1" s="1"/>
  <c r="W290" i="1"/>
  <c r="S297" i="1"/>
  <c r="W289" i="1"/>
  <c r="S292" i="1"/>
  <c r="S287" i="1"/>
  <c r="W288" i="1" s="1"/>
  <c r="S282" i="1"/>
  <c r="V231" i="1" s="1"/>
  <c r="S277" i="1"/>
  <c r="V241" i="1" s="1"/>
  <c r="V240" i="1"/>
  <c r="S272" i="1"/>
  <c r="V239" i="1"/>
  <c r="S267" i="1"/>
  <c r="S262" i="1"/>
  <c r="V238" i="1" s="1"/>
  <c r="S257" i="1"/>
  <c r="V237" i="1" s="1"/>
  <c r="S252" i="1"/>
  <c r="V236" i="1" s="1"/>
  <c r="S247" i="1"/>
  <c r="V235" i="1" s="1"/>
  <c r="V234" i="1"/>
  <c r="S242" i="1"/>
  <c r="S237" i="1"/>
  <c r="S238" i="1" s="1"/>
  <c r="S232" i="1"/>
  <c r="V232" i="1" s="1"/>
  <c r="S227" i="1"/>
  <c r="S228" i="1" s="1"/>
  <c r="S223" i="1"/>
  <c r="S222" i="1"/>
  <c r="S217" i="1"/>
  <c r="S218" i="1" s="1"/>
  <c r="S212" i="1"/>
  <c r="S213" i="1" s="1"/>
  <c r="S207" i="1"/>
  <c r="S208" i="1" s="1"/>
  <c r="S202" i="1"/>
  <c r="S203" i="1" s="1"/>
  <c r="S198" i="1"/>
  <c r="S197" i="1"/>
  <c r="S192" i="1"/>
  <c r="S193" i="1" s="1"/>
  <c r="S187" i="1"/>
  <c r="S188" i="1" s="1"/>
  <c r="S183" i="1"/>
  <c r="V160" i="1" s="1"/>
  <c r="S179" i="1"/>
  <c r="V159" i="1" s="1"/>
  <c r="V158" i="1"/>
  <c r="S174" i="1"/>
  <c r="S169" i="1"/>
  <c r="V157" i="1" s="1"/>
  <c r="S164" i="1"/>
  <c r="V156" i="1" s="1"/>
  <c r="S159" i="1"/>
  <c r="V155" i="1" s="1"/>
  <c r="S154" i="1"/>
  <c r="V154" i="1" s="1"/>
  <c r="U112" i="1"/>
  <c r="U115" i="1"/>
  <c r="U116" i="1"/>
  <c r="U117" i="1"/>
  <c r="S150" i="1"/>
  <c r="S149" i="1"/>
  <c r="S144" i="1"/>
  <c r="S145" i="1" s="1"/>
  <c r="S139" i="1"/>
  <c r="S140" i="1" s="1"/>
  <c r="S134" i="1"/>
  <c r="U114" i="1" s="1"/>
  <c r="S129" i="1"/>
  <c r="U113" i="1" s="1"/>
  <c r="S125" i="1"/>
  <c r="S124" i="1"/>
  <c r="S119" i="1"/>
  <c r="U111" i="1" s="1"/>
  <c r="S114" i="1"/>
  <c r="U110" i="1" s="1"/>
  <c r="S109" i="1"/>
  <c r="U109" i="1" s="1"/>
  <c r="W55" i="1"/>
  <c r="S104" i="1"/>
  <c r="W65" i="1"/>
  <c r="S100" i="1"/>
  <c r="S95" i="1"/>
  <c r="W64" i="1" s="1"/>
  <c r="S90" i="1"/>
  <c r="W63" i="1" s="1"/>
  <c r="S85" i="1"/>
  <c r="W62" i="1" s="1"/>
  <c r="W61" i="1"/>
  <c r="S80" i="1"/>
  <c r="W60" i="1"/>
  <c r="S75" i="1"/>
  <c r="S70" i="1"/>
  <c r="T70" i="1" s="1"/>
  <c r="S65" i="1"/>
  <c r="T65" i="1" s="1"/>
  <c r="S60" i="1"/>
  <c r="T60" i="1" s="1"/>
  <c r="T55" i="1"/>
  <c r="S55" i="1"/>
  <c r="T50" i="1"/>
  <c r="S50" i="1"/>
  <c r="S46" i="1"/>
  <c r="T46" i="1" s="1"/>
  <c r="S41" i="1"/>
  <c r="T41" i="1" s="1"/>
  <c r="S36" i="1"/>
  <c r="T36" i="1" s="1"/>
  <c r="T31" i="1"/>
  <c r="S31" i="1"/>
  <c r="T26" i="1"/>
  <c r="S26" i="1"/>
  <c r="S21" i="1"/>
  <c r="T21" i="1" s="1"/>
  <c r="S16" i="1"/>
  <c r="T16" i="1" s="1"/>
  <c r="S12" i="1"/>
  <c r="T12" i="1" s="1"/>
  <c r="T7" i="1"/>
  <c r="S7" i="1"/>
  <c r="T2" i="1"/>
  <c r="S2" i="1"/>
  <c r="Q228" i="1"/>
  <c r="Q229" i="1"/>
  <c r="Q462" i="1"/>
  <c r="Q463" i="1"/>
  <c r="Q464" i="1"/>
  <c r="Q465" i="1"/>
  <c r="Q466" i="1"/>
  <c r="S233" i="1" l="1"/>
  <c r="S110" i="1"/>
  <c r="S130" i="1"/>
  <c r="S135" i="1"/>
  <c r="S253" i="1"/>
  <c r="S115" i="1"/>
  <c r="S120" i="1"/>
  <c r="V233" i="1"/>
</calcChain>
</file>

<file path=xl/sharedStrings.xml><?xml version="1.0" encoding="utf-8"?>
<sst xmlns="http://schemas.openxmlformats.org/spreadsheetml/2006/main" count="2680" uniqueCount="1437">
  <si>
    <t>group</t>
  </si>
  <si>
    <t>bead_size</t>
  </si>
  <si>
    <t>bead_number</t>
  </si>
  <si>
    <t>bead_id</t>
  </si>
  <si>
    <t>experiment</t>
  </si>
  <si>
    <t>e_factor</t>
  </si>
  <si>
    <t>beam_energy</t>
  </si>
  <si>
    <t>dose_level</t>
  </si>
  <si>
    <t>exp_variable</t>
  </si>
  <si>
    <t>scf_count</t>
  </si>
  <si>
    <t>raw_bead</t>
  </si>
  <si>
    <t>scf_bead</t>
  </si>
  <si>
    <t>calibrated_count</t>
  </si>
  <si>
    <t>is_control</t>
  </si>
  <si>
    <t>mean_control</t>
  </si>
  <si>
    <t>adjusted_count</t>
  </si>
  <si>
    <t>dose</t>
  </si>
  <si>
    <t>1_1</t>
  </si>
  <si>
    <t>linearity</t>
  </si>
  <si>
    <t>0.9765717062151664</t>
  </si>
  <si>
    <t>0.8433673254874178</t>
  </si>
  <si>
    <t>0.6119210270120786</t>
  </si>
  <si>
    <t>0.21332444455300836</t>
  </si>
  <si>
    <t>1_2</t>
  </si>
  <si>
    <t>0.9768119779634031</t>
  </si>
  <si>
    <t>0.8427933745868242</t>
  </si>
  <si>
    <t>0.21250164447976583</t>
  </si>
  <si>
    <t>1_3</t>
  </si>
  <si>
    <t>0.9789797558986748</t>
  </si>
  <si>
    <t>0.9565611194885951</t>
  </si>
  <si>
    <t>0.35107136403519745</t>
  </si>
  <si>
    <t>1_4</t>
  </si>
  <si>
    <t>0.9281705880128085</t>
  </si>
  <si>
    <t>0.7896875362812975</t>
  </si>
  <si>
    <t>0.1895876860786314</t>
  </si>
  <si>
    <t>1_5</t>
  </si>
  <si>
    <t>0.9163875503280119</t>
  </si>
  <si>
    <t>1_6</t>
  </si>
  <si>
    <t>0.9621353451298924</t>
  </si>
  <si>
    <t>1.5759776953227638</t>
  </si>
  <si>
    <t>1.6252035930338218</t>
  </si>
  <si>
    <t>1_7</t>
  </si>
  <si>
    <t>1.6267727347208054</t>
  </si>
  <si>
    <t>1.695569645235181</t>
  </si>
  <si>
    <t>1_10</t>
  </si>
  <si>
    <t>0.9984291304783234</t>
  </si>
  <si>
    <t>1.6484064944197119</t>
  </si>
  <si>
    <t>1.7214316857168381</t>
  </si>
  <si>
    <t>2_1</t>
  </si>
  <si>
    <t>0.9533559931435694</t>
  </si>
  <si>
    <t>1.625471968309786</t>
  </si>
  <si>
    <t>1.785697718332378</t>
  </si>
  <si>
    <t>2_2</t>
  </si>
  <si>
    <t>2.538474866687001</t>
  </si>
  <si>
    <t>5.212366455865858</t>
  </si>
  <si>
    <t>2_3</t>
  </si>
  <si>
    <t>1.0364849150212492</t>
  </si>
  <si>
    <t>3.0223900122019627</t>
  </si>
  <si>
    <t>6.998819372143968</t>
  </si>
  <si>
    <t>2_4</t>
  </si>
  <si>
    <t>0.9531271206913611</t>
  </si>
  <si>
    <t>2.761209268642873</t>
  </si>
  <si>
    <t>6.341287678186116</t>
  </si>
  <si>
    <t>2_5</t>
  </si>
  <si>
    <t>0.9823710456305483</t>
  </si>
  <si>
    <t>2.6681197599325697</t>
  </si>
  <si>
    <t>5.642145411344423</t>
  </si>
  <si>
    <t>2_6</t>
  </si>
  <si>
    <t>0.9969248856549058</t>
  </si>
  <si>
    <t>2.860177496943925</t>
  </si>
  <si>
    <t>6.488086921975234</t>
  </si>
  <si>
    <t>2_7</t>
  </si>
  <si>
    <t>0.9628353435217045</t>
  </si>
  <si>
    <t>5.114581344787295</t>
  </si>
  <si>
    <t>24.15973490881513</t>
  </si>
  <si>
    <t>2_8</t>
  </si>
  <si>
    <t>5.539260918586019</t>
  </si>
  <si>
    <t>28.737791270077036</t>
  </si>
  <si>
    <t>2_9</t>
  </si>
  <si>
    <t>1.0001898302685581</t>
  </si>
  <si>
    <t>5.305006859744433</t>
  </si>
  <si>
    <t>25.016594108707075</t>
  </si>
  <si>
    <t>2_10</t>
  </si>
  <si>
    <t>0.9717909721319973</t>
  </si>
  <si>
    <t>5.202968864794713</t>
  </si>
  <si>
    <t>24.79687361894859</t>
  </si>
  <si>
    <t>3_1</t>
  </si>
  <si>
    <t>0.8698097442537965</t>
  </si>
  <si>
    <t>4.604772786079598</t>
  </si>
  <si>
    <t>21.668251092553064</t>
  </si>
  <si>
    <t>3_2</t>
  </si>
  <si>
    <t>0.9936811873666426</t>
  </si>
  <si>
    <t>12.301773099599036</t>
  </si>
  <si>
    <t>145.49571592347726</t>
  </si>
  <si>
    <t>3_3</t>
  </si>
  <si>
    <t>1.019975487857704</t>
  </si>
  <si>
    <t>12.525298990892605</t>
  </si>
  <si>
    <t>146.8805806894682</t>
  </si>
  <si>
    <t>3_4</t>
  </si>
  <si>
    <t>0.9465372916396031</t>
  </si>
  <si>
    <t>14.73758563082862</t>
  </si>
  <si>
    <t>221.5537384292528</t>
  </si>
  <si>
    <t>3_5</t>
  </si>
  <si>
    <t>0.9760915171500125</t>
  </si>
  <si>
    <t>12.171861218860657</t>
  </si>
  <si>
    <t>145.0601925442198</t>
  </si>
  <si>
    <t>3_6</t>
  </si>
  <si>
    <t>1.072897556815689</t>
  </si>
  <si>
    <t>12.241761123267013</t>
  </si>
  <si>
    <t>132.8517621884327</t>
  </si>
  <si>
    <t>3_7</t>
  </si>
  <si>
    <t>0.9941788432866081</t>
  </si>
  <si>
    <t>25.858591713884678</t>
  </si>
  <si>
    <t>660.0588487231097</t>
  </si>
  <si>
    <t>3_8</t>
  </si>
  <si>
    <t>0.9577255497501904</t>
  </si>
  <si>
    <t>26.021403186712675</t>
  </si>
  <si>
    <t>694.5512370057033</t>
  </si>
  <si>
    <t>3_9</t>
  </si>
  <si>
    <t>1.0305659055959489</t>
  </si>
  <si>
    <t>24.76449871147065</t>
  </si>
  <si>
    <t>582.8512427655049</t>
  </si>
  <si>
    <t>3_10</t>
  </si>
  <si>
    <t>0.9551909374016815</t>
  </si>
  <si>
    <t>23.010549682006506</t>
  </si>
  <si>
    <t>542.9582941165938</t>
  </si>
  <si>
    <t>4_1</t>
  </si>
  <si>
    <t>1.0843255546878814</t>
  </si>
  <si>
    <t>24.147930102899117</t>
  </si>
  <si>
    <t>525.6259067364638</t>
  </si>
  <si>
    <t>4_2</t>
  </si>
  <si>
    <t>1.0137250742067454</t>
  </si>
  <si>
    <t>58.796054303991234</t>
  </si>
  <si>
    <t>3391.1483494447593</t>
  </si>
  <si>
    <t>4_3</t>
  </si>
  <si>
    <t>0.9999379216259702</t>
  </si>
  <si>
    <t>47.817031412153895</t>
  </si>
  <si>
    <t>2268.693663476186</t>
  </si>
  <si>
    <t>4_4</t>
  </si>
  <si>
    <t>0.9875022645394528</t>
  </si>
  <si>
    <t>49.55286363458974</t>
  </si>
  <si>
    <t>2468.583173846277</t>
  </si>
  <si>
    <t>4_5</t>
  </si>
  <si>
    <t>1.0072951694031365</t>
  </si>
  <si>
    <t>54.393939147769366</t>
  </si>
  <si>
    <t>4_6</t>
  </si>
  <si>
    <t>0.9542725831825977</t>
  </si>
  <si>
    <t>54.57484903221276</t>
  </si>
  <si>
    <t>3103.2564004858555</t>
  </si>
  <si>
    <t>4_7</t>
  </si>
  <si>
    <t>91.13707003697766</t>
  </si>
  <si>
    <t>4_8</t>
  </si>
  <si>
    <t>1.0032226640561408</t>
  </si>
  <si>
    <t>8852.914104087124</t>
  </si>
  <si>
    <t>4_9</t>
  </si>
  <si>
    <t>1.0085746166492184</t>
  </si>
  <si>
    <t>112.15349737139309</t>
  </si>
  <si>
    <t>12465.165652667753</t>
  </si>
  <si>
    <t>4_10</t>
  </si>
  <si>
    <t>1.0263034571481993</t>
  </si>
  <si>
    <t>97.38593504879263</t>
  </si>
  <si>
    <t>9227.496357174216</t>
  </si>
  <si>
    <t>5_1</t>
  </si>
  <si>
    <t>0.9934325461935589</t>
  </si>
  <si>
    <t>97.45573278158813</t>
  </si>
  <si>
    <t>9548.514747519468</t>
  </si>
  <si>
    <t>5_2</t>
  </si>
  <si>
    <t>0.9420454218094493</t>
  </si>
  <si>
    <t>138.10385883726525</t>
  </si>
  <si>
    <t>20262.831206441264</t>
  </si>
  <si>
    <t>5_3</t>
  </si>
  <si>
    <t>0.9852966216519623</t>
  </si>
  <si>
    <t>148.68126020728113</t>
  </si>
  <si>
    <t>22457.307513402244</t>
  </si>
  <si>
    <t>5_4</t>
  </si>
  <si>
    <t>141.05537782592972</t>
  </si>
  <si>
    <t>20681.70663299888</t>
  </si>
  <si>
    <t>5_5</t>
  </si>
  <si>
    <t>147.2922099379369</t>
  </si>
  <si>
    <t>22247.50078317445</t>
  </si>
  <si>
    <t>5_6</t>
  </si>
  <si>
    <t>0.9675281562800283</t>
  </si>
  <si>
    <t>144.0649424700962</t>
  </si>
  <si>
    <t>21470.465895723206</t>
  </si>
  <si>
    <t>5_7</t>
  </si>
  <si>
    <t>261.7960145278751</t>
  </si>
  <si>
    <t>68221.69416051976</t>
  </si>
  <si>
    <t>5_8</t>
  </si>
  <si>
    <t>0.9748931079416864</t>
  </si>
  <si>
    <t>253.37471875404427</t>
  </si>
  <si>
    <t>66027.17998598715</t>
  </si>
  <si>
    <t>5_10</t>
  </si>
  <si>
    <t>231.64896922294358</t>
  </si>
  <si>
    <t>57106.26196660165</t>
  </si>
  <si>
    <t>6_2</t>
  </si>
  <si>
    <t>252.67323496622856</t>
  </si>
  <si>
    <t>69298.00371640654</t>
  </si>
  <si>
    <t>6_3</t>
  </si>
  <si>
    <t>1.0024627326025755</t>
  </si>
  <si>
    <t>0.6493953581799484</t>
  </si>
  <si>
    <t>0.023416722125246158</t>
  </si>
  <si>
    <t>6_4</t>
  </si>
  <si>
    <t>1.0176225710616986</t>
  </si>
  <si>
    <t>0.5229562392686069</t>
  </si>
  <si>
    <t>6_5</t>
  </si>
  <si>
    <t>1.0397422130971479</t>
  </si>
  <si>
    <t>0.6498388831857174</t>
  </si>
  <si>
    <t>6_6</t>
  </si>
  <si>
    <t>1.0034762306396383</t>
  </si>
  <si>
    <t>0.024615466537000648</t>
  </si>
  <si>
    <t>6_7</t>
  </si>
  <si>
    <t>1.0078065585674707</t>
  </si>
  <si>
    <t>0.6232275758181238</t>
  </si>
  <si>
    <t>6_8</t>
  </si>
  <si>
    <t>1.473063486099888</t>
  </si>
  <si>
    <t>1.3310556846519541</t>
  </si>
  <si>
    <t>6_9</t>
  </si>
  <si>
    <t>0.9371533504792761</t>
  </si>
  <si>
    <t>1.490073827262049</t>
  </si>
  <si>
    <t>1.464733546376529</t>
  </si>
  <si>
    <t>6_10</t>
  </si>
  <si>
    <t>0.9492530339801329</t>
  </si>
  <si>
    <t>1.4229302979362193</t>
  </si>
  <si>
    <t>7_1</t>
  </si>
  <si>
    <t>1.3595437549384295</t>
  </si>
  <si>
    <t>0.9893638651336286</t>
  </si>
  <si>
    <t>7_2</t>
  </si>
  <si>
    <t>1.0705830620349834</t>
  </si>
  <si>
    <t>1.4549223813055425</t>
  </si>
  <si>
    <t>1.0924039380933521</t>
  </si>
  <si>
    <t>7_4</t>
  </si>
  <si>
    <t>1.0223393105592011</t>
  </si>
  <si>
    <t>1.6919715589754778</t>
  </si>
  <si>
    <t>1.7737285990561944</t>
  </si>
  <si>
    <t>7_5</t>
  </si>
  <si>
    <t>1.0614240869076494</t>
  </si>
  <si>
    <t>2.0718998176437315</t>
  </si>
  <si>
    <t>2.790461688202888</t>
  </si>
  <si>
    <t>7_6</t>
  </si>
  <si>
    <t>1.046594439478986</t>
  </si>
  <si>
    <t>1.6714113198479406</t>
  </si>
  <si>
    <t>1.6547458757750706</t>
  </si>
  <si>
    <t>7_7</t>
  </si>
  <si>
    <t>1.0639841708738775</t>
  </si>
  <si>
    <t>1.8343087105865648</t>
  </si>
  <si>
    <t>2.0501468814190003</t>
  </si>
  <si>
    <t>7_8</t>
  </si>
  <si>
    <t>1.0386541746717444</t>
  </si>
  <si>
    <t>2.1593620291425566</t>
  </si>
  <si>
    <t>3.1838739980136452</t>
  </si>
  <si>
    <t>7_9</t>
  </si>
  <si>
    <t>1.0518628393548444</t>
  </si>
  <si>
    <t>7.511134816358233</t>
  </si>
  <si>
    <t>7_10</t>
  </si>
  <si>
    <t>1.0257731289739414</t>
  </si>
  <si>
    <t>2.9891028978300653</t>
  </si>
  <si>
    <t>6.915729577077244</t>
  </si>
  <si>
    <t>8_1</t>
  </si>
  <si>
    <t>1.0311012024042476</t>
  </si>
  <si>
    <t>8_2</t>
  </si>
  <si>
    <t>1.0116585916469145</t>
  </si>
  <si>
    <t>2.8063409332285407</t>
  </si>
  <si>
    <t>6.098020826903245</t>
  </si>
  <si>
    <t>8_3</t>
  </si>
  <si>
    <t>1.0482524342151602</t>
  </si>
  <si>
    <t>3.2527273033696424</t>
  </si>
  <si>
    <t>8_4</t>
  </si>
  <si>
    <t>1.008062447917731</t>
  </si>
  <si>
    <t>5.321561662557701</t>
  </si>
  <si>
    <t>24.960953305308234</t>
  </si>
  <si>
    <t>8_5</t>
  </si>
  <si>
    <t>1.0902810204900508</t>
  </si>
  <si>
    <t>6.158997484748297</t>
  </si>
  <si>
    <t>31.17925299006145</t>
  </si>
  <si>
    <t>8_6</t>
  </si>
  <si>
    <t>5.236545566995052</t>
  </si>
  <si>
    <t>24.277988187133655</t>
  </si>
  <si>
    <t>8_7</t>
  </si>
  <si>
    <t>1.0297640016963259</t>
  </si>
  <si>
    <t>5.635898381283991</t>
  </si>
  <si>
    <t>27.53421820618721</t>
  </si>
  <si>
    <t>8_8</t>
  </si>
  <si>
    <t>0.9102943337898803</t>
  </si>
  <si>
    <t>4.754467305384545</t>
  </si>
  <si>
    <t>22.03339117549469</t>
  </si>
  <si>
    <t>8_9</t>
  </si>
  <si>
    <t>14.648248374510729</t>
  </si>
  <si>
    <t>199.15845309178198</t>
  </si>
  <si>
    <t>8_10</t>
  </si>
  <si>
    <t>1.0700059977846588</t>
  </si>
  <si>
    <t>13.492775632064546</t>
  </si>
  <si>
    <t>162.7008920586105</t>
  </si>
  <si>
    <t>9_1</t>
  </si>
  <si>
    <t>0.9855412064021603</t>
  </si>
  <si>
    <t>12.23056637145081</t>
  </si>
  <si>
    <t>145.0222994319065</t>
  </si>
  <si>
    <t>9_2</t>
  </si>
  <si>
    <t>1.0155401841505518</t>
  </si>
  <si>
    <t>12.48098886321028</t>
  </si>
  <si>
    <t>146.48640563372098</t>
  </si>
  <si>
    <t>9_3</t>
  </si>
  <si>
    <t>1.016320079746836</t>
  </si>
  <si>
    <t>12.399104972911397</t>
  </si>
  <si>
    <t>144.4038267542357</t>
  </si>
  <si>
    <t>9_4</t>
  </si>
  <si>
    <t>1.0438427394258438</t>
  </si>
  <si>
    <t>26.388344452685335</t>
  </si>
  <si>
    <t>654.2208692716075</t>
  </si>
  <si>
    <t>9_6</t>
  </si>
  <si>
    <t>1.051584233157426</t>
  </si>
  <si>
    <t>28.150909921624297</t>
  </si>
  <si>
    <t>740.0740953681583</t>
  </si>
  <si>
    <t>9_7</t>
  </si>
  <si>
    <t>23.77198689898114</t>
  </si>
  <si>
    <t>570.2428750248403</t>
  </si>
  <si>
    <t>9_8</t>
  </si>
  <si>
    <t>27.780144926624274</t>
  </si>
  <si>
    <t>749.5914822824706</t>
  </si>
  <si>
    <t>9_9</t>
  </si>
  <si>
    <t>1.0343246976103426</t>
  </si>
  <si>
    <t>24.32731688779526</t>
  </si>
  <si>
    <t>560.0925592628306</t>
  </si>
  <si>
    <t>9_10</t>
  </si>
  <si>
    <t>0.8557486426815469</t>
  </si>
  <si>
    <t>51.64443058583136</t>
  </si>
  <si>
    <t>3100.6422842727507</t>
  </si>
  <si>
    <t>10_1</t>
  </si>
  <si>
    <t>47.44454067712856</t>
  </si>
  <si>
    <t>2456.0574352107296</t>
  </si>
  <si>
    <t>10_2</t>
  </si>
  <si>
    <t>48.44243853362239</t>
  </si>
  <si>
    <t>2389.4088683389277</t>
  </si>
  <si>
    <t>10_3</t>
  </si>
  <si>
    <t>0.8526244306016092</t>
  </si>
  <si>
    <t>2133.9771701215695</t>
  </si>
  <si>
    <t>10_4</t>
  </si>
  <si>
    <t>1.0654117831088672</t>
  </si>
  <si>
    <t>52.737883263888925</t>
  </si>
  <si>
    <t>2591.209851128864</t>
  </si>
  <si>
    <t>10_5</t>
  </si>
  <si>
    <t>1.0631294384871193</t>
  </si>
  <si>
    <t>105.53685935861633</t>
  </si>
  <si>
    <t>10464.385733832652</t>
  </si>
  <si>
    <t>10_6</t>
  </si>
  <si>
    <t>1.0463186168014205</t>
  </si>
  <si>
    <t>101.82772778711423</t>
  </si>
  <si>
    <t>9897.049186408201</t>
  </si>
  <si>
    <t>10_7</t>
  </si>
  <si>
    <t>1.0052547920957944</t>
  </si>
  <si>
    <t>98.06260496894474</t>
  </si>
  <si>
    <t>9553.769391735159</t>
  </si>
  <si>
    <t>10_8</t>
  </si>
  <si>
    <t>1.0608568515231822</t>
  </si>
  <si>
    <t>121.04376675879509</t>
  </si>
  <si>
    <t>10_9</t>
  </si>
  <si>
    <t>1.0535375816543582</t>
  </si>
  <si>
    <t>115.99448774014483</t>
  </si>
  <si>
    <t>12763.83279811483</t>
  </si>
  <si>
    <t>10_10</t>
  </si>
  <si>
    <t>1.0340553034013826</t>
  </si>
  <si>
    <t>151.17888535728213</t>
  </si>
  <si>
    <t>22120.445729089726</t>
  </si>
  <si>
    <t>11_1</t>
  </si>
  <si>
    <t>0.9614363638211643</t>
  </si>
  <si>
    <t>146.13832730081697</t>
  </si>
  <si>
    <t>22234.774506931095</t>
  </si>
  <si>
    <t>11_2</t>
  </si>
  <si>
    <t>0.8677186025830835</t>
  </si>
  <si>
    <t>131.80645573237038</t>
  </si>
  <si>
    <t>20040.950235164313</t>
  </si>
  <si>
    <t>11_3</t>
  </si>
  <si>
    <t>1.0625603794139782</t>
  </si>
  <si>
    <t>166.6094674921118</t>
  </si>
  <si>
    <t>26153.17855910093</t>
  </si>
  <si>
    <t>11_4</t>
  </si>
  <si>
    <t>1.0504712826904363</t>
  </si>
  <si>
    <t>147.27607383319915</t>
  </si>
  <si>
    <t>20661.290678452468</t>
  </si>
  <si>
    <t>11_5</t>
  </si>
  <si>
    <t>1.071449826415914</t>
  </si>
  <si>
    <t>264.32667217680597</t>
  </si>
  <si>
    <t>65374.51555508836</t>
  </si>
  <si>
    <t>11_6</t>
  </si>
  <si>
    <t>1.0124325345391483</t>
  </si>
  <si>
    <t>253.9180796624184</t>
  </si>
  <si>
    <t>63846.50911281465</t>
  </si>
  <si>
    <t>11_7</t>
  </si>
  <si>
    <t>1.0688537335646477</t>
  </si>
  <si>
    <t>287.7354250756032</t>
  </si>
  <si>
    <t>77670.65836535914</t>
  </si>
  <si>
    <t>11_8</t>
  </si>
  <si>
    <t>0.8767245106401668</t>
  </si>
  <si>
    <t>224.35380227281868</t>
  </si>
  <si>
    <t>57562.664515088894</t>
  </si>
  <si>
    <t>11_10</t>
  </si>
  <si>
    <t>1.027897736959499</t>
  </si>
  <si>
    <t>0.5760338917921033</t>
  </si>
  <si>
    <t>12_1</t>
  </si>
  <si>
    <t>0.9996861398432715</t>
  </si>
  <si>
    <t>12_2</t>
  </si>
  <si>
    <t>0.5663290518820884</t>
  </si>
  <si>
    <t>12_3</t>
  </si>
  <si>
    <t>1.0734777450155004</t>
  </si>
  <si>
    <t>12_4</t>
  </si>
  <si>
    <t>1.0236572857673505</t>
  </si>
  <si>
    <t>0.6207457780893214</t>
  </si>
  <si>
    <t>12_5</t>
  </si>
  <si>
    <t>dose_rate</t>
  </si>
  <si>
    <t>1.0605734611223063</t>
  </si>
  <si>
    <t>10.069084439895176</t>
  </si>
  <si>
    <t>89.88382229229427</t>
  </si>
  <si>
    <t>12_6</t>
  </si>
  <si>
    <t>1.0846217823489923</t>
  </si>
  <si>
    <t>10.101082659016166</t>
  </si>
  <si>
    <t>88.33197781786784</t>
  </si>
  <si>
    <t>12_7</t>
  </si>
  <si>
    <t>1.058876293157949</t>
  </si>
  <si>
    <t>10.555937766491592</t>
  </si>
  <si>
    <t>99.26908875880156</t>
  </si>
  <si>
    <t>12_8</t>
  </si>
  <si>
    <t>10.41421899465333</t>
  </si>
  <si>
    <t>97.05716098433287</t>
  </si>
  <si>
    <t>12_9</t>
  </si>
  <si>
    <t>10.369799591856605</t>
  </si>
  <si>
    <t>97.94592512394603</t>
  </si>
  <si>
    <t>12_10</t>
  </si>
  <si>
    <t>1.0145021833592796</t>
  </si>
  <si>
    <t>10.621837859771658</t>
  </si>
  <si>
    <t>105.23710196975077</t>
  </si>
  <si>
    <t>13_2</t>
  </si>
  <si>
    <t>0.8796382190831459</t>
  </si>
  <si>
    <t>83.16760160856742</t>
  </si>
  <si>
    <t>13_3</t>
  </si>
  <si>
    <t>1.0510274632935726</t>
  </si>
  <si>
    <t>10.14136399331968</t>
  </si>
  <si>
    <t>92.10885155924232</t>
  </si>
  <si>
    <t>13_4</t>
  </si>
  <si>
    <t>9.440125499439052</t>
  </si>
  <si>
    <t>84.07953536778487</t>
  </si>
  <si>
    <t>13_5</t>
  </si>
  <si>
    <t>9.880834016696133</t>
  </si>
  <si>
    <t>88.64030628343231</t>
  </si>
  <si>
    <t>13_6</t>
  </si>
  <si>
    <t>10.410447444390226</t>
  </si>
  <si>
    <t>96.21637873643496</t>
  </si>
  <si>
    <t>13_7</t>
  </si>
  <si>
    <t>0.9818851378757959</t>
  </si>
  <si>
    <t>10.103598068741938</t>
  </si>
  <si>
    <t>98.27479399056556</t>
  </si>
  <si>
    <t>13_8</t>
  </si>
  <si>
    <t>1.0019567509114977</t>
  </si>
  <si>
    <t>9.804146807669005</t>
  </si>
  <si>
    <t>90.38614364775397</t>
  </si>
  <si>
    <t>13_9</t>
  </si>
  <si>
    <t>0.9994344848246574</t>
  </si>
  <si>
    <t>10.234209124604492</t>
  </si>
  <si>
    <t>99.03092831936245</t>
  </si>
  <si>
    <t>13_10</t>
  </si>
  <si>
    <t>1.0181445028423077</t>
  </si>
  <si>
    <t>96.26302558863476</t>
  </si>
  <si>
    <t>14_1</t>
  </si>
  <si>
    <t>0.9080042572183296</t>
  </si>
  <si>
    <t>8.738632971469205</t>
  </si>
  <si>
    <t>79.14899543199655</t>
  </si>
  <si>
    <t>14_2</t>
  </si>
  <si>
    <t>1.0560597183078613</t>
  </si>
  <si>
    <t>9.726310005615403</t>
  </si>
  <si>
    <t>84.04782064728025</t>
  </si>
  <si>
    <t>14_3</t>
  </si>
  <si>
    <t>10.469109910452643</t>
  </si>
  <si>
    <t>97.58977004657162</t>
  </si>
  <si>
    <t>14_4</t>
  </si>
  <si>
    <t>0.9012026448608528</t>
  </si>
  <si>
    <t>9.111158739543221</t>
  </si>
  <si>
    <t>86.97337210413124</t>
  </si>
  <si>
    <t>14_5</t>
  </si>
  <si>
    <t>10.127089155566221</t>
  </si>
  <si>
    <t>92.90539656130454</t>
  </si>
  <si>
    <t>14_6</t>
  </si>
  <si>
    <t>9.480557944255436</t>
  </si>
  <si>
    <t>14_7</t>
  </si>
  <si>
    <t>1.0101142502362144</t>
  </si>
  <si>
    <t>10.36377220742356</t>
  </si>
  <si>
    <t>100.49295750279383</t>
  </si>
  <si>
    <t>14_8</t>
  </si>
  <si>
    <t>10.520888734333278</t>
  </si>
  <si>
    <t>98.42137005547046</t>
  </si>
  <si>
    <t>14_9</t>
  </si>
  <si>
    <t>1.0160599814866556</t>
  </si>
  <si>
    <t>9.606847124956328</t>
  </si>
  <si>
    <t>85.38101287176961</t>
  </si>
  <si>
    <t>14_10</t>
  </si>
  <si>
    <t>10.179129633087596</t>
  </si>
  <si>
    <t>100.03249590815285</t>
  </si>
  <si>
    <t>15_1</t>
  </si>
  <si>
    <t>1.042746106610404</t>
  </si>
  <si>
    <t>10.542163137831183</t>
  </si>
  <si>
    <t>100.63346535602284</t>
  </si>
  <si>
    <t>15_2</t>
  </si>
  <si>
    <t>1.0419251429299001</t>
  </si>
  <si>
    <t>10.278591535003464</t>
  </si>
  <si>
    <t>95.58655196429368</t>
  </si>
  <si>
    <t>15_3</t>
  </si>
  <si>
    <t>10.305316891154476</t>
  </si>
  <si>
    <t>100.1332839651737</t>
  </si>
  <si>
    <t>15_4</t>
  </si>
  <si>
    <t>1.0132076625074462</t>
  </si>
  <si>
    <t>10.098640772211716</t>
  </si>
  <si>
    <t>94.94832356168477</t>
  </si>
  <si>
    <t>15_5</t>
  </si>
  <si>
    <t>10.926445948160612</t>
  </si>
  <si>
    <t>107.92560168101144</t>
  </si>
  <si>
    <t>15_6</t>
  </si>
  <si>
    <t>1.0152804848704653</t>
  </si>
  <si>
    <t>10.305096921435224</t>
  </si>
  <si>
    <t>98.78475202104912</t>
  </si>
  <si>
    <t>15_7</t>
  </si>
  <si>
    <t>1.032173466019745</t>
  </si>
  <si>
    <t>9.827323569973993</t>
  </si>
  <si>
    <t>87.99236359598382</t>
  </si>
  <si>
    <t>15_8</t>
  </si>
  <si>
    <t>1.010371312956725</t>
  </si>
  <si>
    <t>10.558380220397776</t>
  </si>
  <si>
    <t>104.39615923126325</t>
  </si>
  <si>
    <t>15_9</t>
  </si>
  <si>
    <t>1.0083184672452945</t>
  </si>
  <si>
    <t>93.16335145279767</t>
  </si>
  <si>
    <t>15_10</t>
  </si>
  <si>
    <t>9.661409094027348</t>
  </si>
  <si>
    <t>86.45824076740018</t>
  </si>
  <si>
    <t>16_1</t>
  </si>
  <si>
    <t>0.9677792945687612</t>
  </si>
  <si>
    <t>9.403911405324653</t>
  </si>
  <si>
    <t>0.6139580306558721</t>
  </si>
  <si>
    <t>86.03437205895904</t>
  </si>
  <si>
    <t>16_2</t>
  </si>
  <si>
    <t>1.0843630607398826</t>
  </si>
  <si>
    <t>10.669048154619706</t>
  </si>
  <si>
    <t>98.91700200936715</t>
  </si>
  <si>
    <t>16_3</t>
  </si>
  <si>
    <t>0.8135046273629942</t>
  </si>
  <si>
    <t>8.924145762172047</t>
  </si>
  <si>
    <t>92.88324427497314</t>
  </si>
  <si>
    <t>16_4</t>
  </si>
  <si>
    <t>1.0192745026755348</t>
  </si>
  <si>
    <t>10.01437198878713</t>
  </si>
  <si>
    <t>92.70633234707783</t>
  </si>
  <si>
    <t>16_5</t>
  </si>
  <si>
    <t>1.029801697584302</t>
  </si>
  <si>
    <t>77.82657198500485</t>
  </si>
  <si>
    <t>16_6</t>
  </si>
  <si>
    <t>1.0339087511468084</t>
  </si>
  <si>
    <t>0.5281205900857897</t>
  </si>
  <si>
    <t>16_7</t>
  </si>
  <si>
    <t>1.0292565544667793</t>
  </si>
  <si>
    <t>0.5412860219940793</t>
  </si>
  <si>
    <t>16_8</t>
  </si>
  <si>
    <t>0.9886944276077012</t>
  </si>
  <si>
    <t>0.5782873707077444</t>
  </si>
  <si>
    <t>16_9</t>
  </si>
  <si>
    <t>0.9787405351096645</t>
  </si>
  <si>
    <t>0.8582575752376649</t>
  </si>
  <si>
    <t>0.22680596687186697</t>
  </si>
  <si>
    <t>16_10</t>
  </si>
  <si>
    <t>0.9505106025138551</t>
  </si>
  <si>
    <t>0.6972945780041642</t>
  </si>
  <si>
    <t>17_1</t>
  </si>
  <si>
    <t>0.9714056595125333</t>
  </si>
  <si>
    <t>10.034620462764469</t>
  </si>
  <si>
    <t>97.98672719865223</t>
  </si>
  <si>
    <t>17_2</t>
  </si>
  <si>
    <t>1.016609800077146</t>
  </si>
  <si>
    <t>89.74190589815913</t>
  </si>
  <si>
    <t>17_3</t>
  </si>
  <si>
    <t>10.070119494609898</t>
  </si>
  <si>
    <t>17_4</t>
  </si>
  <si>
    <t>0.9374494063323238</t>
  </si>
  <si>
    <t>9.571358438653027</t>
  </si>
  <si>
    <t>17_5</t>
  </si>
  <si>
    <t>1.0289841992863613</t>
  </si>
  <si>
    <t>9.866929486956918</t>
  </si>
  <si>
    <t>89.00111181306278</t>
  </si>
  <si>
    <t>17_9</t>
  </si>
  <si>
    <t>0.9760382548220695</t>
  </si>
  <si>
    <t>9.547606208669484</t>
  </si>
  <si>
    <t>17_10</t>
  </si>
  <si>
    <t>1.0126387680108115</t>
  </si>
  <si>
    <t>11.432691690842061</t>
  </si>
  <si>
    <t>122.66924252663489</t>
  </si>
  <si>
    <t>18_1</t>
  </si>
  <si>
    <t>0.9817055943873517</t>
  </si>
  <si>
    <t>84.32668734906473</t>
  </si>
  <si>
    <t>18_3</t>
  </si>
  <si>
    <t>0.9110924754693366</t>
  </si>
  <si>
    <t>75.22501913885192</t>
  </si>
  <si>
    <t>18_4</t>
  </si>
  <si>
    <t>1.0372180563253257</t>
  </si>
  <si>
    <t>9.999819281032465</t>
  </si>
  <si>
    <t>18_5</t>
  </si>
  <si>
    <t>1.0076531099011317</t>
  </si>
  <si>
    <t>10.052347424373691</t>
  </si>
  <si>
    <t>94.58341555519078</t>
  </si>
  <si>
    <t>18_6</t>
  </si>
  <si>
    <t>1.0105335427927808</t>
  </si>
  <si>
    <t>9.992155671135016</t>
  </si>
  <si>
    <t>93.13333774706139</t>
  </si>
  <si>
    <t>18_7</t>
  </si>
  <si>
    <t>1.0386031942486593</t>
  </si>
  <si>
    <t>10.510664325796432</t>
  </si>
  <si>
    <t>100.41690071026026</t>
  </si>
  <si>
    <t>18_8</t>
  </si>
  <si>
    <t>0.8924820941718279</t>
  </si>
  <si>
    <t>8.595495048968875</t>
  </si>
  <si>
    <t>18_9</t>
  </si>
  <si>
    <t>1.0257271442763944</t>
  </si>
  <si>
    <t>10.729105929131087</t>
  </si>
  <si>
    <t>106.17007766006392</t>
  </si>
  <si>
    <t>18_10</t>
  </si>
  <si>
    <t>1.0265394734494873</t>
  </si>
  <si>
    <t>9.626887182009291</t>
  </si>
  <si>
    <t>84.79441537414115</t>
  </si>
  <si>
    <t>19_1</t>
  </si>
  <si>
    <t>0.9668168320774051</t>
  </si>
  <si>
    <t>10.064563221925788</t>
  </si>
  <si>
    <t>99.08832535186168</t>
  </si>
  <si>
    <t>19_2</t>
  </si>
  <si>
    <t>1.0139589938825768</t>
  </si>
  <si>
    <t>11.183967702524821</t>
  </si>
  <si>
    <t>117.07806730983695</t>
  </si>
  <si>
    <t>19_3</t>
  </si>
  <si>
    <t>1.0416635583797966</t>
  </si>
  <si>
    <t>10.989550540906855</t>
  </si>
  <si>
    <t>109.74134210922509</t>
  </si>
  <si>
    <t>19_4</t>
  </si>
  <si>
    <t>0.9792334672225114</t>
  </si>
  <si>
    <t>9.781563104085667</t>
  </si>
  <si>
    <t>92.16338153426246</t>
  </si>
  <si>
    <t>19_5</t>
  </si>
  <si>
    <t>0.9463468672130917</t>
  </si>
  <si>
    <t>10.01234985511451</t>
  </si>
  <si>
    <t>100.28492348525407</t>
  </si>
  <si>
    <t>19_6</t>
  </si>
  <si>
    <t>0.9952737516712983</t>
  </si>
  <si>
    <t>9.749701671372037</t>
  </si>
  <si>
    <t>89.97203008555039</t>
  </si>
  <si>
    <t>19_7</t>
  </si>
  <si>
    <t>1.031988056987858</t>
  </si>
  <si>
    <t>88.79942597112507</t>
  </si>
  <si>
    <t>19_8</t>
  </si>
  <si>
    <t>1.0512379394182971</t>
  </si>
  <si>
    <t>9.973094331261384</t>
  </si>
  <si>
    <t>88.93636639749776</t>
  </si>
  <si>
    <t>19_9</t>
  </si>
  <si>
    <t>0.9844393911648806</t>
  </si>
  <si>
    <t>10.070814971616729</t>
  </si>
  <si>
    <t>97.32801953021672</t>
  </si>
  <si>
    <t>20_1</t>
  </si>
  <si>
    <t>84.44973399629048</t>
  </si>
  <si>
    <t>20_2</t>
  </si>
  <si>
    <t>95.29104896759573</t>
  </si>
  <si>
    <t>20_3</t>
  </si>
  <si>
    <t>0.9975716587092738</t>
  </si>
  <si>
    <t>10.654065315015044</t>
  </si>
  <si>
    <t>107.78318452771356</t>
  </si>
  <si>
    <t>20_4</t>
  </si>
  <si>
    <t>20_5</t>
  </si>
  <si>
    <t>1.0063492435685504</t>
  </si>
  <si>
    <t>0.6001866888642835</t>
  </si>
  <si>
    <t>20_6</t>
  </si>
  <si>
    <t>0.9351948906693105</t>
  </si>
  <si>
    <t>0.5326870097252393</t>
  </si>
  <si>
    <t>20_7</t>
  </si>
  <si>
    <t>0.9045227542163721</t>
  </si>
  <si>
    <t>0.45805032273517077</t>
  </si>
  <si>
    <t>20_8</t>
  </si>
  <si>
    <t>1.0355607598852115</t>
  </si>
  <si>
    <t>0.48764556182994606</t>
  </si>
  <si>
    <t>21_10</t>
  </si>
  <si>
    <t>energy_resp</t>
  </si>
  <si>
    <t>1257.129250171081</t>
  </si>
  <si>
    <t>22_1</t>
  </si>
  <si>
    <t>0.9632245840639001</t>
  </si>
  <si>
    <t>36.679592161153316</t>
  </si>
  <si>
    <t>1368.7640829962108</t>
  </si>
  <si>
    <t>22_2</t>
  </si>
  <si>
    <t>1.0816484556954216</t>
  </si>
  <si>
    <t>36.354204595923115</t>
  </si>
  <si>
    <t>1194.7657974195242</t>
  </si>
  <si>
    <t>22_3</t>
  </si>
  <si>
    <t>1.0589674266678957</t>
  </si>
  <si>
    <t>1655.0028079897654</t>
  </si>
  <si>
    <t>22_4</t>
  </si>
  <si>
    <t>37.961870330606715</t>
  </si>
  <si>
    <t>1422.2861629391452</t>
  </si>
  <si>
    <t>22_5</t>
  </si>
  <si>
    <t>0.9575321832384579</t>
  </si>
  <si>
    <t>34.921198722706556</t>
  </si>
  <si>
    <t>1249.636693633905</t>
  </si>
  <si>
    <t>22_6</t>
  </si>
  <si>
    <t>1.0624393593181303</t>
  </si>
  <si>
    <t>37.25974833128683</t>
  </si>
  <si>
    <t>1281.2609304092005</t>
  </si>
  <si>
    <t>22_7</t>
  </si>
  <si>
    <t>0.9753038570862568</t>
  </si>
  <si>
    <t>34.92563112225886</t>
  </si>
  <si>
    <t>1226.7903979888765</t>
  </si>
  <si>
    <t>22_8</t>
  </si>
  <si>
    <t>1.0016831345198576</t>
  </si>
  <si>
    <t>38.14409376251618</t>
  </si>
  <si>
    <t>1426.2557063762758</t>
  </si>
  <si>
    <t>22_9</t>
  </si>
  <si>
    <t>0.9904572117622569</t>
  </si>
  <si>
    <t>1242.3441818639378</t>
  </si>
  <si>
    <t>22_10</t>
  </si>
  <si>
    <t>1.0071311581361835</t>
  </si>
  <si>
    <t>28.612596202648973</t>
  </si>
  <si>
    <t>790.5734839967469</t>
  </si>
  <si>
    <t>23_1</t>
  </si>
  <si>
    <t>26.882601486653396</t>
  </si>
  <si>
    <t>710.1721126783832</t>
  </si>
  <si>
    <t>23_2</t>
  </si>
  <si>
    <t>0.9945101334005614</t>
  </si>
  <si>
    <t>28.41315451125404</t>
  </si>
  <si>
    <t>789.5818489046494</t>
  </si>
  <si>
    <t>23_3</t>
  </si>
  <si>
    <t>1.0045294892943577</t>
  </si>
  <si>
    <t>26.81089206926641</t>
  </si>
  <si>
    <t>694.9522334331476</t>
  </si>
  <si>
    <t>23_4</t>
  </si>
  <si>
    <t>0.9613196118697842</t>
  </si>
  <si>
    <t>29.214503004722744</t>
  </si>
  <si>
    <t>864.7040433222212</t>
  </si>
  <si>
    <t>23_5</t>
  </si>
  <si>
    <t>0.9765284680622413</t>
  </si>
  <si>
    <t>17.362676162146652</t>
  </si>
  <si>
    <t>297.1569568290531</t>
  </si>
  <si>
    <t>23_6</t>
  </si>
  <si>
    <t>1.022759571493209</t>
  </si>
  <si>
    <t>16.855077738208085</t>
  </si>
  <si>
    <t>266.62350029009707</t>
  </si>
  <si>
    <t>23_7</t>
  </si>
  <si>
    <t>0.9876899367238695</t>
  </si>
  <si>
    <t>16.04996147176288</t>
  </si>
  <si>
    <t>250.20724943054898</t>
  </si>
  <si>
    <t>23_8</t>
  </si>
  <si>
    <t>18.575785025781443</t>
  </si>
  <si>
    <t>321.99339787811607</t>
  </si>
  <si>
    <t>23_9</t>
  </si>
  <si>
    <t>0.9376754558994503</t>
  </si>
  <si>
    <t>18.434699462983193</t>
  </si>
  <si>
    <t>350.05788600620497</t>
  </si>
  <si>
    <t>23_10</t>
  </si>
  <si>
    <t>1.0413845983925851</t>
  </si>
  <si>
    <t>30.34594719715993</t>
  </si>
  <si>
    <t>863.9219195066717</t>
  </si>
  <si>
    <t>24_1</t>
  </si>
  <si>
    <t>1.027353090297762</t>
  </si>
  <si>
    <t>31.108251574216233</t>
  </si>
  <si>
    <t>921.0166634666808</t>
  </si>
  <si>
    <t>24_2</t>
  </si>
  <si>
    <t>1.0436204708168488</t>
  </si>
  <si>
    <t>33.656760183843375</t>
  </si>
  <si>
    <t>1062.6413949383427</t>
  </si>
  <si>
    <t>24_3</t>
  </si>
  <si>
    <t>0.9991095007684182</t>
  </si>
  <si>
    <t>29.953302833037178</t>
  </si>
  <si>
    <t>877.8542396361718</t>
  </si>
  <si>
    <t>24_4</t>
  </si>
  <si>
    <t>1.0469923393420268</t>
  </si>
  <si>
    <t>29.24249603782281</t>
  </si>
  <si>
    <t>797.1948593388695</t>
  </si>
  <si>
    <t>24_5</t>
  </si>
  <si>
    <t>1.0100086034833127</t>
  </si>
  <si>
    <t>9.946564727103665</t>
  </si>
  <si>
    <t>24_6</t>
  </si>
  <si>
    <t>11.330264430511328</t>
  </si>
  <si>
    <t>116.9014775551721</t>
  </si>
  <si>
    <t>24_7</t>
  </si>
  <si>
    <t>1.0243761155298357</t>
  </si>
  <si>
    <t>9.907765789404571</t>
  </si>
  <si>
    <t>90.19593803302368</t>
  </si>
  <si>
    <t>24_8</t>
  </si>
  <si>
    <t>1.013430490651115</t>
  </si>
  <si>
    <t>10.013706678123667</t>
  </si>
  <si>
    <t>93.26375884911918</t>
  </si>
  <si>
    <t>24_9</t>
  </si>
  <si>
    <t>1.0262685541344747</t>
  </si>
  <si>
    <t>10.22881867905831</t>
  </si>
  <si>
    <t>96.15132703722969</t>
  </si>
  <si>
    <t>24_10</t>
  </si>
  <si>
    <t>9.667818657877447</t>
  </si>
  <si>
    <t>86.19459805632063</t>
  </si>
  <si>
    <t>25_1</t>
  </si>
  <si>
    <t>1.0535163689135996</t>
  </si>
  <si>
    <t>10.136934501686655</t>
  </si>
  <si>
    <t>91.77279540872954</t>
  </si>
  <si>
    <t>25_2</t>
  </si>
  <si>
    <t>1.024916099723981</t>
  </si>
  <si>
    <t>88.72575027363675</t>
  </si>
  <si>
    <t>25_3</t>
  </si>
  <si>
    <t>10.14443921141766</t>
  </si>
  <si>
    <t>95.79655938285487</t>
  </si>
  <si>
    <t>25_4</t>
  </si>
  <si>
    <t>9.680523426820171</t>
  </si>
  <si>
    <t>25_5</t>
  </si>
  <si>
    <t>25_6</t>
  </si>
  <si>
    <t>1.0174077467713858</t>
  </si>
  <si>
    <t>10.030622975419092</t>
  </si>
  <si>
    <t>93.19952802654973</t>
  </si>
  <si>
    <t>25_7</t>
  </si>
  <si>
    <t>1.0837586383056637</t>
  </si>
  <si>
    <t>9.697472295559079</t>
  </si>
  <si>
    <t>81.22526744496614</t>
  </si>
  <si>
    <t>25_8</t>
  </si>
  <si>
    <t>0.9846886733360349</t>
  </si>
  <si>
    <t>9.984743147627395</t>
  </si>
  <si>
    <t>95.59304751499472</t>
  </si>
  <si>
    <t>25_9</t>
  </si>
  <si>
    <t>1.0430606031073293</t>
  </si>
  <si>
    <t>10.029027698876972</t>
  </si>
  <si>
    <t>90.72532585859938</t>
  </si>
  <si>
    <t>25_10</t>
  </si>
  <si>
    <t>1.0627297149594548</t>
  </si>
  <si>
    <t>0.6849293012913685</t>
  </si>
  <si>
    <t>inf</t>
  </si>
  <si>
    <t>26_1</t>
  </si>
  <si>
    <t>0.9269466395074943</t>
  </si>
  <si>
    <t>0.5684963740099462</t>
  </si>
  <si>
    <t>26_2</t>
  </si>
  <si>
    <t>1.0306204958727334</t>
  </si>
  <si>
    <t>0.6237315241021782</t>
  </si>
  <si>
    <t>26_3</t>
  </si>
  <si>
    <t>0.6698441972708316</t>
  </si>
  <si>
    <t>26_4</t>
  </si>
  <si>
    <t>0.9338473788814758</t>
  </si>
  <si>
    <t>0.7665953133238035</t>
  </si>
  <si>
    <t>0.9811347054392335</t>
  </si>
  <si>
    <t>1.8749484220943753</t>
  </si>
  <si>
    <t>0.6530161371580657</t>
  </si>
  <si>
    <t>2.3705073956338407</t>
  </si>
  <si>
    <t>0.9865154804770311</t>
  </si>
  <si>
    <t>1.7875660506243805</t>
  </si>
  <si>
    <t>2.082171061746478</t>
  </si>
  <si>
    <t>1.047810871632104</t>
  </si>
  <si>
    <t>1.8797727037079945</t>
  </si>
  <si>
    <t>2.1555681615493207</t>
  </si>
  <si>
    <t>0.9983787287235124</t>
  </si>
  <si>
    <t>1.955823929569361</t>
  </si>
  <si>
    <t>2.5671100407815928</t>
  </si>
  <si>
    <t>1.008642006844574</t>
  </si>
  <si>
    <t>2.3168506897219867</t>
  </si>
  <si>
    <t>3.828005172379047</t>
  </si>
  <si>
    <t>0.9434002285458551</t>
  </si>
  <si>
    <t>3.3122782024244977</t>
  </si>
  <si>
    <t>9.514007690223421</t>
  </si>
  <si>
    <t>0.9442255683213312</t>
  </si>
  <si>
    <t>3.6390453403104104</t>
  </si>
  <si>
    <t>11.70706071405403</t>
  </si>
  <si>
    <t>1_8</t>
  </si>
  <si>
    <t>0.9224365793442643</t>
  </si>
  <si>
    <t>3.6058045886567287</t>
  </si>
  <si>
    <t>11.799438746962519</t>
  </si>
  <si>
    <t>1_9</t>
  </si>
  <si>
    <t>0.9525590929925092</t>
  </si>
  <si>
    <t>3.5463775032111116</t>
  </si>
  <si>
    <t>10.942031865732444</t>
  </si>
  <si>
    <t>1.0601617348813117</t>
  </si>
  <si>
    <t>3.850507421088924</t>
  </si>
  <si>
    <t>11.528240674549767</t>
  </si>
  <si>
    <t>0.9401132476262537</t>
  </si>
  <si>
    <t>6.556349788945494</t>
  </si>
  <si>
    <t>41.65083539203175</t>
  </si>
  <si>
    <t>0.9696753709195257</t>
  </si>
  <si>
    <t>6.265072571511056</t>
  </si>
  <si>
    <t>36.57029185414054</t>
  </si>
  <si>
    <t>0.9910447505367089</t>
  </si>
  <si>
    <t>6.942268477509646</t>
  </si>
  <si>
    <t>44.318771196640725</t>
  </si>
  <si>
    <t>0.9610410271600951</t>
  </si>
  <si>
    <t>7.116508806120504</t>
  </si>
  <si>
    <t>48.29201268210871</t>
  </si>
  <si>
    <t>1.0974608298585853</t>
  </si>
  <si>
    <t>7.030334076074097</t>
  </si>
  <si>
    <t>40.64864169853471</t>
  </si>
  <si>
    <t>0.9740509859109169</t>
  </si>
  <si>
    <t>13.227612388670252</t>
  </si>
  <si>
    <t>171.8523938615763</t>
  </si>
  <si>
    <t>1.0191184885497433</t>
  </si>
  <si>
    <t>14.196320545497924</t>
  </si>
  <si>
    <t>189.43147617518326</t>
  </si>
  <si>
    <t>0.9679361125742645</t>
  </si>
  <si>
    <t>12.728359880351578</t>
  </si>
  <si>
    <t>159.86543520120438</t>
  </si>
  <si>
    <t>0.9802436110675498</t>
  </si>
  <si>
    <t>12.30205731889775</t>
  </si>
  <si>
    <t>147.09284161073674</t>
  </si>
  <si>
    <t>1.077089710571784</t>
  </si>
  <si>
    <t>12.795825761592795</t>
  </si>
  <si>
    <t>144.3804314946125</t>
  </si>
  <si>
    <t>0.9328006351814708</t>
  </si>
  <si>
    <t>28.78622760170019</t>
  </si>
  <si>
    <t>873.9146860669877</t>
  </si>
  <si>
    <t>0.9352254996484827</t>
  </si>
  <si>
    <t>35.828488891533375</t>
  </si>
  <si>
    <t>1355.972691475863</t>
  </si>
  <si>
    <t>34.58855050969666</t>
  </si>
  <si>
    <t>1211.711102467929</t>
  </si>
  <si>
    <t>31.20562922313993</t>
  </si>
  <si>
    <t>973.3955885712793</t>
  </si>
  <si>
    <t>0.9584806286547544</t>
  </si>
  <si>
    <t>29.760823519730124</t>
  </si>
  <si>
    <t>909.1851982654505</t>
  </si>
  <si>
    <t>0.9169507585948309</t>
  </si>
  <si>
    <t>61.06892052241573</t>
  </si>
  <si>
    <t>4047.548860515504</t>
  </si>
  <si>
    <t>0.9714208909692799</t>
  </si>
  <si>
    <t>60.62637780539275</t>
  </si>
  <si>
    <t>3762.916819889646</t>
  </si>
  <si>
    <t>0.8538400805456768</t>
  </si>
  <si>
    <t>54.03100029693043</t>
  </si>
  <si>
    <t>3400.802596672432</t>
  </si>
  <si>
    <t>0.8276495641509213</t>
  </si>
  <si>
    <t>53.02750757514952</t>
  </si>
  <si>
    <t>3379.7433087236036</t>
  </si>
  <si>
    <t>1.0278534182990309</t>
  </si>
  <si>
    <t>64.24083864368943</t>
  </si>
  <si>
    <t>3993.0674481725555</t>
  </si>
  <si>
    <t>124.98587397657998</t>
  </si>
  <si>
    <t>16298.03032555027</t>
  </si>
  <si>
    <t>1.0114778075519486</t>
  </si>
  <si>
    <t>131.99785388552928</t>
  </si>
  <si>
    <t>17225.651460707628</t>
  </si>
  <si>
    <t>0.9731727065997342</t>
  </si>
  <si>
    <t>132.05953628558393</t>
  </si>
  <si>
    <t>17923.86137255642</t>
  </si>
  <si>
    <t>0.9534005430881113</t>
  </si>
  <si>
    <t>120.12846842910203</t>
  </si>
  <si>
    <t>15133.408234824692</t>
  </si>
  <si>
    <t>0.9838177357713176</t>
  </si>
  <si>
    <t>118.9435642547523</t>
  </si>
  <si>
    <t>14374.477237718698</t>
  </si>
  <si>
    <t>262.7052877661033</t>
  </si>
  <si>
    <t>70586.39832069114</t>
  </si>
  <si>
    <t>248.0907861115105</t>
  </si>
  <si>
    <t>63343.43310129717</t>
  </si>
  <si>
    <t>0.9928681250141821</t>
  </si>
  <si>
    <t>252.28779056610367</t>
  </si>
  <si>
    <t>64262.89405467268</t>
  </si>
  <si>
    <t>1.0067602904605342</t>
  </si>
  <si>
    <t>245.9515389595085</t>
  </si>
  <si>
    <t>60226.48305920453</t>
  </si>
  <si>
    <t>254.84433079673758</t>
  </si>
  <si>
    <t>66117.88477359012</t>
  </si>
  <si>
    <t>1.0249251851931573</t>
  </si>
  <si>
    <t>391.8288982993441</t>
  </si>
  <si>
    <t>150291.7761067788</t>
  </si>
  <si>
    <t>0.9123002963539838</t>
  </si>
  <si>
    <t>350.8706939777422</t>
  </si>
  <si>
    <t>135392.7082197149</t>
  </si>
  <si>
    <t>342.7561935627478</t>
  </si>
  <si>
    <t>128541.1455560279</t>
  </si>
  <si>
    <t>0.9946982213328237</t>
  </si>
  <si>
    <t>416.8780245605864</t>
  </si>
  <si>
    <t>175317.94172470065</t>
  </si>
  <si>
    <t>1.0039508435928552</t>
  </si>
  <si>
    <t>384.6135681804229</t>
  </si>
  <si>
    <t>147833.46643550578</t>
  </si>
  <si>
    <t>1.0307984313945218</t>
  </si>
  <si>
    <t>615.3866635425295</t>
  </si>
  <si>
    <t>0.9550879109793299</t>
  </si>
  <si>
    <t>737.7099024404343</t>
  </si>
  <si>
    <t>572186.3237931223</t>
  </si>
  <si>
    <t>0.9775800133690243</t>
  </si>
  <si>
    <t>641.9767947794384</t>
  </si>
  <si>
    <t>423283.35670852783</t>
  </si>
  <si>
    <t>5_9</t>
  </si>
  <si>
    <t>0.9130720948503355</t>
  </si>
  <si>
    <t>461646.29605958576</t>
  </si>
  <si>
    <t>614.2884390755041</t>
  </si>
  <si>
    <t>386135.52908702235</t>
  </si>
  <si>
    <t>6_1</t>
  </si>
  <si>
    <t>1.116303411716601</t>
  </si>
  <si>
    <t>0.6973547412993607</t>
  </si>
  <si>
    <t>1.0367393778172822</t>
  </si>
  <si>
    <t>0.7363959800636156</t>
  </si>
  <si>
    <t>0.9829217633526747</t>
  </si>
  <si>
    <t>0.7170414263657762</t>
  </si>
  <si>
    <t>0.055117686538839174</t>
  </si>
  <si>
    <t>1.035744469047072</t>
  </si>
  <si>
    <t>0.6998525377351066</t>
  </si>
  <si>
    <t>0.015955134648806803</t>
  </si>
  <si>
    <t>1.0105307705607818</t>
  </si>
  <si>
    <t>1.2146579862140596</t>
  </si>
  <si>
    <t>0.6701785259332658</t>
  </si>
  <si>
    <t>2.0283268203438563</t>
  </si>
  <si>
    <t>2.925242468103442</t>
  </si>
  <si>
    <t>0.9360365918174895</t>
  </si>
  <si>
    <t>1.8776894031858837</t>
  </si>
  <si>
    <t>2.5532497104922642</t>
  </si>
  <si>
    <t>0.9883222114846338</t>
  </si>
  <si>
    <t>1.7236339368292015</t>
  </si>
  <si>
    <t>1.8899063422385654</t>
  </si>
  <si>
    <t>0.9311910326147913</t>
  </si>
  <si>
    <t>1.6742814766413947</t>
  </si>
  <si>
    <t>1.9266585654367454</t>
  </si>
  <si>
    <t>0.9475414192127086</t>
  </si>
  <si>
    <t>1.8676041372682488</t>
  </si>
  <si>
    <t>2.473841321704909</t>
  </si>
  <si>
    <t>0.9384783315662522</t>
  </si>
  <si>
    <t>3.394476125275134</t>
  </si>
  <si>
    <t>10.111731113686144</t>
  </si>
  <si>
    <t>1.0152837729615625</t>
  </si>
  <si>
    <t>3.458056530707082</t>
  </si>
  <si>
    <t>9.567812890283177</t>
  </si>
  <si>
    <t>7_3</t>
  </si>
  <si>
    <t>0.9919555998620154</t>
  </si>
  <si>
    <t>3.4272065975232633</t>
  </si>
  <si>
    <t>9.651233749633764</t>
  </si>
  <si>
    <t>1.1682613310895698</t>
  </si>
  <si>
    <t>3.5433366171946648</t>
  </si>
  <si>
    <t>3.593844673675492</t>
  </si>
  <si>
    <t>10.69117813029135</t>
  </si>
  <si>
    <t>1.1209409340516676</t>
  </si>
  <si>
    <t>7.6291239971556495</t>
  </si>
  <si>
    <t>47.177765670471224</t>
  </si>
  <si>
    <t>7.734939386529769</t>
  </si>
  <si>
    <t>6.7033726898414265</t>
  </si>
  <si>
    <t>41.378901394594344</t>
  </si>
  <si>
    <t>6.872487957194592</t>
  </si>
  <si>
    <t>43.91474123559673</t>
  </si>
  <si>
    <t>6.822530913302421</t>
  </si>
  <si>
    <t>43.376100966121975</t>
  </si>
  <si>
    <t>12.554131380088212</t>
  </si>
  <si>
    <t>155.40606394024528</t>
  </si>
  <si>
    <t>12.820452272680761</t>
  </si>
  <si>
    <t>156.1258425149829</t>
  </si>
  <si>
    <t>0.9784662694227553</t>
  </si>
  <si>
    <t>13.326710589537926</t>
  </si>
  <si>
    <t>173.6756192555809</t>
  </si>
  <si>
    <t>13.128154187605364</t>
  </si>
  <si>
    <t>163.43541112640042</t>
  </si>
  <si>
    <t>13.086252207751789</t>
  </si>
  <si>
    <t>166.99088754462724</t>
  </si>
  <si>
    <t>1269.988307783152</t>
  </si>
  <si>
    <t>33.624644832089295</t>
  </si>
  <si>
    <t>1080.2798781318493</t>
  </si>
  <si>
    <t>1.0229822813188951</t>
  </si>
  <si>
    <t>32.42853831780897</t>
  </si>
  <si>
    <t>1011.8676440689111</t>
  </si>
  <si>
    <t>1.0488291081631054</t>
  </si>
  <si>
    <t>33.772297282851994</t>
  </si>
  <si>
    <t>1070.7679571791282</t>
  </si>
  <si>
    <t>1.001157033072841</t>
  </si>
  <si>
    <t>31.776724229731972</t>
  </si>
  <si>
    <t>992.8065460740262</t>
  </si>
  <si>
    <t>1.0162397438400266</t>
  </si>
  <si>
    <t>63.647095156700864</t>
  </si>
  <si>
    <t>3964.477376325241</t>
  </si>
  <si>
    <t>4049.3061214841937</t>
  </si>
  <si>
    <t>1.0427492018057836</t>
  </si>
  <si>
    <t>65.63063476165601</t>
  </si>
  <si>
    <t>4108.4766716656695</t>
  </si>
  <si>
    <t>63.12553420320212</t>
  </si>
  <si>
    <t>4136.910241328119</t>
  </si>
  <si>
    <t>9_5</t>
  </si>
  <si>
    <t>61.95831502101133</t>
  </si>
  <si>
    <t>3973.8621003665894</t>
  </si>
  <si>
    <t>0.9662030822999019</t>
  </si>
  <si>
    <t>121.64496806155766</t>
  </si>
  <si>
    <t>15312.22648422295</t>
  </si>
  <si>
    <t>123.8109623713334</t>
  </si>
  <si>
    <t>14950.265023187461</t>
  </si>
  <si>
    <t>125.77765825351838</t>
  </si>
  <si>
    <t>15680.742857970095</t>
  </si>
  <si>
    <t>0.9295869754077792</t>
  </si>
  <si>
    <t>121.68293508087831</t>
  </si>
  <si>
    <t>15928.477670213468</t>
  </si>
  <si>
    <t>1.0020865739396756</t>
  </si>
  <si>
    <t>126.96436891815691</t>
  </si>
  <si>
    <t>16083.895236364657</t>
  </si>
  <si>
    <t>260.0669344806168</t>
  </si>
  <si>
    <t>69929.77278667774</t>
  </si>
  <si>
    <t>254.25350159087188</t>
  </si>
  <si>
    <t>65811.27886562343</t>
  </si>
  <si>
    <t>0.9937823306223746</t>
  </si>
  <si>
    <t>255.89895013526146</t>
  </si>
  <si>
    <t>66057.15931247205</t>
  </si>
  <si>
    <t>0.9874180195136886</t>
  </si>
  <si>
    <t>283.1914879965259</t>
  </si>
  <si>
    <t>81441.59813651867</t>
  </si>
  <si>
    <t>1.0048855820397289</t>
  </si>
  <si>
    <t>270.31422156868706</t>
  </si>
  <si>
    <t>72902.51864642125</t>
  </si>
  <si>
    <t>373.5091821104753</t>
  </si>
  <si>
    <t>140712.35211978757</t>
  </si>
  <si>
    <t>383.9180102383721</t>
  </si>
  <si>
    <t>150730.06306557156</t>
  </si>
  <si>
    <t>0.9593325776102518</t>
  </si>
  <si>
    <t>364.06671320309056</t>
  </si>
  <si>
    <t>138618.66956969764</t>
  </si>
  <si>
    <t>399.47458085502853</t>
  </si>
  <si>
    <t>156516.5431921667</t>
  </si>
  <si>
    <t>1.0181570965248634</t>
  </si>
  <si>
    <t>403.2920259334984</t>
  </si>
  <si>
    <t>160282.02539832864</t>
  </si>
  <si>
    <t>1.0377361997914192</t>
  </si>
  <si>
    <t>651.5945598490321</t>
  </si>
  <si>
    <t>410764.54509220243</t>
  </si>
  <si>
    <t>615.3933620248257</t>
  </si>
  <si>
    <t>394932.2363921271</t>
  </si>
  <si>
    <t>669.6220721483306</t>
  </si>
  <si>
    <t>422129.07043520274</t>
  </si>
  <si>
    <t>692.3620625662272</t>
  </si>
  <si>
    <t>468264.2831608029</t>
  </si>
  <si>
    <t>630.7522374640345</t>
  </si>
  <si>
    <t>385264.0903351819</t>
  </si>
  <si>
    <t>1.0337603691285238</t>
  </si>
  <si>
    <t>0.49341382418504437</t>
  </si>
  <si>
    <t>0.8703654223208088</t>
  </si>
  <si>
    <t>0.3599831386718865</t>
  </si>
  <si>
    <t>0.4656235116332514</t>
  </si>
  <si>
    <t>11_9</t>
  </si>
  <si>
    <t>0.6267965452054565</t>
  </si>
  <si>
    <t>1.0239528116139291</t>
  </si>
  <si>
    <t>0.5190416802071007</t>
  </si>
  <si>
    <t>25.17894804253432</t>
  </si>
  <si>
    <t>27.01187517037545</t>
  </si>
  <si>
    <t>698.4262076516079</t>
  </si>
  <si>
    <t>1.0897044896332757</t>
  </si>
  <si>
    <t>26.229187065472946</t>
  </si>
  <si>
    <t>617.2949248720024</t>
  </si>
  <si>
    <t>1.045780318293717</t>
  </si>
  <si>
    <t>24.826824756292844</t>
  </si>
  <si>
    <t>576.0567864463693</t>
  </si>
  <si>
    <t>1.0580830774077212</t>
  </si>
  <si>
    <t>27.922812412789764</t>
  </si>
  <si>
    <t>722.2602738423443</t>
  </si>
  <si>
    <t>1.0002292151020007</t>
  </si>
  <si>
    <t>23.915480533088836</t>
  </si>
  <si>
    <t>558.9969294775452</t>
  </si>
  <si>
    <t>1.135326413584606</t>
  </si>
  <si>
    <t>24.875001721638718</t>
  </si>
  <si>
    <t>531.4246333517985</t>
  </si>
  <si>
    <t>1.0696176647614541</t>
  </si>
  <si>
    <t>25.33924247819885</t>
  </si>
  <si>
    <t>586.6730854943777</t>
  </si>
  <si>
    <t>27.00764509195597</t>
  </si>
  <si>
    <t>673.0735070538636</t>
  </si>
  <si>
    <t>1.1258519840858656</t>
  </si>
  <si>
    <t>25.669425237157736</t>
  </si>
  <si>
    <t>571.3571321565427</t>
  </si>
  <si>
    <t>13_1</t>
  </si>
  <si>
    <t>0.9892280609348716</t>
  </si>
  <si>
    <t>24.691132400934396</t>
  </si>
  <si>
    <t>603.1828711807095</t>
  </si>
  <si>
    <t>25.381200724095446</t>
  </si>
  <si>
    <t>634.8357113971009</t>
  </si>
  <si>
    <t>26.141122493768563</t>
  </si>
  <si>
    <t>677.7508694757005</t>
  </si>
  <si>
    <t>25.29415444119899</t>
  </si>
  <si>
    <t>597.0687408891179</t>
  </si>
  <si>
    <t>24.374002185926056</t>
  </si>
  <si>
    <t>574.8586090150762</t>
  </si>
  <si>
    <t>24.97859415435421</t>
  </si>
  <si>
    <t>598.9084599566897</t>
  </si>
  <si>
    <t>1.0200816978741287</t>
  </si>
  <si>
    <t>25.80806695621546</t>
  </si>
  <si>
    <t>639.2874470361674</t>
  </si>
  <si>
    <t>25.495437205206127</t>
  </si>
  <si>
    <t>658.1918432826428</t>
  </si>
  <si>
    <t>25.539814640686703</t>
  </si>
  <si>
    <t>631.3592045999447</t>
  </si>
  <si>
    <t>1.062248575685977</t>
  </si>
  <si>
    <t>25.72766050311436</t>
  </si>
  <si>
    <t>609.3702109603737</t>
  </si>
  <si>
    <t>0.9601860424289189</t>
  </si>
  <si>
    <t>24.26390129217878</t>
  </si>
  <si>
    <t>600.3055945318138</t>
  </si>
  <si>
    <t>1.0803240695944858</t>
  </si>
  <si>
    <t>26.100629521402777</t>
  </si>
  <si>
    <t>616.6302281101817</t>
  </si>
  <si>
    <t>1.0685586842034047</t>
  </si>
  <si>
    <t>27.707726681394284</t>
  </si>
  <si>
    <t>25.43285851268714</t>
  </si>
  <si>
    <t>623.6030539899199</t>
  </si>
  <si>
    <t>1.2038351686511994</t>
  </si>
  <si>
    <t>25.388883706853797</t>
  </si>
  <si>
    <t>521.4796046357201</t>
  </si>
  <si>
    <t>1.0417427305257752</t>
  </si>
  <si>
    <t>26.11649025428118</t>
  </si>
  <si>
    <t>640.8903729576406</t>
  </si>
  <si>
    <t>1.064343648241662</t>
  </si>
  <si>
    <t>25.767759723930638</t>
  </si>
  <si>
    <t>1.0077002702034836</t>
  </si>
  <si>
    <t>652.9521255384728</t>
  </si>
  <si>
    <t>25.102268677188874</t>
  </si>
  <si>
    <t>615.4971294855272</t>
  </si>
  <si>
    <t>25.922650270789653</t>
  </si>
  <si>
    <t>633.7888390146684</t>
  </si>
  <si>
    <t>25.775315179319044</t>
  </si>
  <si>
    <t>647.5428518563849</t>
  </si>
  <si>
    <t>25.533637741719623</t>
  </si>
  <si>
    <t>623.7645432639505</t>
  </si>
  <si>
    <t>25.72223940833159</t>
  </si>
  <si>
    <t>656.5500494166374</t>
  </si>
  <si>
    <t>1.0632950799537884</t>
  </si>
  <si>
    <t>26.444148638450717</t>
  </si>
  <si>
    <t>643.6155988381453</t>
  </si>
  <si>
    <t>25.52452348186149</t>
  </si>
  <si>
    <t>614.8199421070395</t>
  </si>
  <si>
    <t>25.914061429480924</t>
  </si>
  <si>
    <t>650.2471894779345</t>
  </si>
  <si>
    <t>1.0298148870245352</t>
  </si>
  <si>
    <t>25.570303644819205</t>
  </si>
  <si>
    <t>621.3194156670977</t>
  </si>
  <si>
    <t>1.0508715297679359</t>
  </si>
  <si>
    <t>26.67111942551021</t>
  </si>
  <si>
    <t>662.8103915965036</t>
  </si>
  <si>
    <t>1.0976840623595212</t>
  </si>
  <si>
    <t>26.772514280948723</t>
  </si>
  <si>
    <t>638.6922004568695</t>
  </si>
  <si>
    <t>1.056012555224266</t>
  </si>
  <si>
    <t>24.953576679949407</t>
  </si>
  <si>
    <t>576.2391243169711</t>
  </si>
  <si>
    <t>0.9388578222799187</t>
  </si>
  <si>
    <t>0.6959753036561036</t>
  </si>
  <si>
    <t>0.6571722435608226</t>
  </si>
  <si>
    <t>0.9546574558543832</t>
  </si>
  <si>
    <t>0.6176633739377859</t>
  </si>
  <si>
    <t>0.9840992002489584</t>
  </si>
  <si>
    <t>0.20063051445000504</t>
  </si>
  <si>
    <t>1.0384427996103516</t>
  </si>
  <si>
    <t>0.9855860611101848</t>
  </si>
  <si>
    <t>0.2891657563795199</t>
  </si>
  <si>
    <t>1.0194698365237305</t>
  </si>
  <si>
    <t>0.8133330355786321</t>
  </si>
  <si>
    <t>0.11495195983044085</t>
  </si>
  <si>
    <t>0.9879075980686987</t>
  </si>
  <si>
    <t>24.490229356123038</t>
  </si>
  <si>
    <t>593.9884289115654</t>
  </si>
  <si>
    <t>1.0184530202387718</t>
  </si>
  <si>
    <t>24.351211713909034</t>
  </si>
  <si>
    <t>569.0799313006139</t>
  </si>
  <si>
    <t>0.9756367399026394</t>
  </si>
  <si>
    <t>25.288504298276415</t>
  </si>
  <si>
    <t>642.0694756837477</t>
  </si>
  <si>
    <t>1.0154147051131386</t>
  </si>
  <si>
    <t>25.21274712795923</t>
  </si>
  <si>
    <t>612.5260237093618</t>
  </si>
  <si>
    <t>0.9975588121031047</t>
  </si>
  <si>
    <t>24.340435015315755</t>
  </si>
  <si>
    <t>23.618546040931605</t>
  </si>
  <si>
    <t>0.9458148390704679</t>
  </si>
  <si>
    <t>24.610102112613575</t>
  </si>
  <si>
    <t>627.3183728146714</t>
  </si>
  <si>
    <t>0.9936757859134466</t>
  </si>
  <si>
    <t>24.26556269200637</t>
  </si>
  <si>
    <t>579.5159664957024</t>
  </si>
  <si>
    <t>1.0284025600891402</t>
  </si>
  <si>
    <t>25.01075026136789</t>
  </si>
  <si>
    <t>594.7990708483061</t>
  </si>
  <si>
    <t>24.623285974935207</t>
  </si>
  <si>
    <t>596.9681270059363</t>
  </si>
  <si>
    <t>17_6</t>
  </si>
  <si>
    <t>0.9956135129419817</t>
  </si>
  <si>
    <t>24.07393474293712</t>
  </si>
  <si>
    <t>17_7</t>
  </si>
  <si>
    <t>22.496819793080434</t>
  </si>
  <si>
    <t>497.02885887330535</t>
  </si>
  <si>
    <t>17_8</t>
  </si>
  <si>
    <t>0.9775046849753973</t>
  </si>
  <si>
    <t>24.642893108229767</t>
  </si>
  <si>
    <t>608.0931757856357</t>
  </si>
  <si>
    <t>1.0245845262092796</t>
  </si>
  <si>
    <t>25.378958714203858</t>
  </si>
  <si>
    <t>1.0034405888478408</t>
  </si>
  <si>
    <t>24.433778338444924</t>
  </si>
  <si>
    <t>581.8143734791862</t>
  </si>
  <si>
    <t>1.0074004586945746</t>
  </si>
  <si>
    <t>24.097018971974226</t>
  </si>
  <si>
    <t>563.3817103403856</t>
  </si>
  <si>
    <t>18_2</t>
  </si>
  <si>
    <t>0.9627583787223527</t>
  </si>
  <si>
    <t>23.029180419038678</t>
  </si>
  <si>
    <t>538.4159371457876</t>
  </si>
  <si>
    <t>1.0004910559707172</t>
  </si>
  <si>
    <t>25.132335325984418</t>
  </si>
  <si>
    <t>617.8974775845513</t>
  </si>
  <si>
    <t>24.806581245913975</t>
  </si>
  <si>
    <t>592.6860132514848</t>
  </si>
  <si>
    <t>1.0361246344655386</t>
  </si>
  <si>
    <t>25.499027254196903</t>
  </si>
  <si>
    <t>613.8430228909816</t>
  </si>
  <si>
    <t>1.0742771788089003</t>
  </si>
  <si>
    <t>25.696710117108896</t>
  </si>
  <si>
    <t>600.7820516195501</t>
  </si>
  <si>
    <t>1.0669806990496316</t>
  </si>
  <si>
    <t>25.30878218145726</t>
  </si>
  <si>
    <t>586.6252102273224</t>
  </si>
  <si>
    <t>1.0144059578909153</t>
  </si>
  <si>
    <t>24.599344478854697</t>
  </si>
  <si>
    <t>583.2845198099818</t>
  </si>
  <si>
    <t>0.9793797964696167</t>
  </si>
  <si>
    <t>25.032947597763403</t>
  </si>
  <si>
    <t>626.5238012694169</t>
  </si>
  <si>
    <t>24.672969764230878</t>
  </si>
  <si>
    <t>599.4125109051103</t>
  </si>
  <si>
    <t>1.0103909321441826</t>
  </si>
  <si>
    <t>628.0460658089688</t>
  </si>
  <si>
    <t>0.9737759202460671</t>
  </si>
  <si>
    <t>23.80882125001634</t>
  </si>
  <si>
    <t>569.3258121462188</t>
  </si>
  <si>
    <t>0.9673185793775935</t>
  </si>
  <si>
    <t>23.76701749530747</t>
  </si>
  <si>
    <t>571.1925584417729</t>
  </si>
  <si>
    <t>1.0064075640950148</t>
  </si>
  <si>
    <t>23.892115571615648</t>
  </si>
  <si>
    <t>554.2689331422537</t>
  </si>
  <si>
    <t>0.9484503759832996</t>
  </si>
  <si>
    <t>0.4809591856611312</t>
  </si>
  <si>
    <t>0.9747054419479281</t>
  </si>
  <si>
    <t>0.5389146388530094</t>
  </si>
  <si>
    <t>0.5633797454459024</t>
  </si>
  <si>
    <t>0.8874519941201504</t>
  </si>
  <si>
    <t>0.6517447444818385</t>
  </si>
  <si>
    <t>19_10</t>
  </si>
  <si>
    <t>1.0462097641149608</t>
  </si>
  <si>
    <t>0.8002458485715336</t>
  </si>
  <si>
    <t>21_1</t>
  </si>
  <si>
    <t>1.0508394412088675</t>
  </si>
  <si>
    <t>99.06263412275993</t>
  </si>
  <si>
    <t>9236.586957403466</t>
  </si>
  <si>
    <t>21_2</t>
  </si>
  <si>
    <t>0.9965852132346219</t>
  </si>
  <si>
    <t>8090.431348767396</t>
  </si>
  <si>
    <t>21_3</t>
  </si>
  <si>
    <t>0.9907832966867718</t>
  </si>
  <si>
    <t>92.21220142263785</t>
  </si>
  <si>
    <t>8487.639728199507</t>
  </si>
  <si>
    <t>21_4</t>
  </si>
  <si>
    <t>0.9682358083865357</t>
  </si>
  <si>
    <t>84.67222144340255</t>
  </si>
  <si>
    <t>7319.662879972424</t>
  </si>
  <si>
    <t>21_5</t>
  </si>
  <si>
    <t>1.0024554807915511</t>
  </si>
  <si>
    <t>90.57185268951663</t>
  </si>
  <si>
    <t>8091.280461018325</t>
  </si>
  <si>
    <t>21_7</t>
  </si>
  <si>
    <t>8207.975659918442</t>
  </si>
  <si>
    <t>21_8</t>
  </si>
  <si>
    <t>1.048250395288061</t>
  </si>
  <si>
    <t>94.69894071032344</t>
  </si>
  <si>
    <t>21_9</t>
  </si>
  <si>
    <t>0.9423234902271896</t>
  </si>
  <si>
    <t>84.57353324789027</t>
  </si>
  <si>
    <t>7519.855519369032</t>
  </si>
  <si>
    <t>0.9850485442806548</t>
  </si>
  <si>
    <t>91.84592626872825</t>
  </si>
  <si>
    <t>8486.382806255768</t>
  </si>
  <si>
    <t>0.9591410590271942</t>
  </si>
  <si>
    <t>86.36106095480856</t>
  </si>
  <si>
    <t>7703.7882596676645</t>
  </si>
  <si>
    <t>0.9803200525250388</t>
  </si>
  <si>
    <t>72.23978467057012</t>
  </si>
  <si>
    <t>5265.3450608862295</t>
  </si>
  <si>
    <t>0.9831516843227806</t>
  </si>
  <si>
    <t>5713.783153264684</t>
  </si>
  <si>
    <t>72.94573944390612</t>
  </si>
  <si>
    <t>5296.415985357877</t>
  </si>
  <si>
    <t>1.0308943743815944</t>
  </si>
  <si>
    <t>77.25522441615668</t>
  </si>
  <si>
    <t>5727.281964661098</t>
  </si>
  <si>
    <t>0.9888643076850804</t>
  </si>
  <si>
    <t>1.0540937891648186</t>
  </si>
  <si>
    <t>68.93773381137913</t>
  </si>
  <si>
    <t>4436.604200864188</t>
  </si>
  <si>
    <t>1.0044276349302745</t>
  </si>
  <si>
    <t>67.51762562001305</t>
  </si>
  <si>
    <t>4467.359925117965</t>
  </si>
  <si>
    <t>67.03986574092424</t>
  </si>
  <si>
    <t>4408.426134367962</t>
  </si>
  <si>
    <t>1.0443906590578746</t>
  </si>
  <si>
    <t>71.76008218386656</t>
  </si>
  <si>
    <t>4854.350410185478</t>
  </si>
  <si>
    <t>68.56219128134494</t>
  </si>
  <si>
    <t>4703.4499975183835</t>
  </si>
  <si>
    <t>41.88829207354001</t>
  </si>
  <si>
    <t>1741.635323384103</t>
  </si>
  <si>
    <t>42.19600494342083</t>
  </si>
  <si>
    <t>1739.705009406917</t>
  </si>
  <si>
    <t>1.0054166247635705</t>
  </si>
  <si>
    <t>42.79053154993756</t>
  </si>
  <si>
    <t>1787.681229455145</t>
  </si>
  <si>
    <t>1.0093921368919845</t>
  </si>
  <si>
    <t>42.717475233268786</t>
  </si>
  <si>
    <t>1774.4075900634439</t>
  </si>
  <si>
    <t>1.0164254605725025</t>
  </si>
  <si>
    <t>1706.0027008656416</t>
  </si>
  <si>
    <t>24.981700477125397</t>
  </si>
  <si>
    <t>0.9917455868912668</t>
  </si>
  <si>
    <t>25.77546780330402</t>
  </si>
  <si>
    <t>656.2467198017532</t>
  </si>
  <si>
    <t>1.0751821098348882</t>
  </si>
  <si>
    <t>24.23460475567838</t>
  </si>
  <si>
    <t>532.9866146873284</t>
  </si>
  <si>
    <t>25.242389342141195</t>
  </si>
  <si>
    <t>623.3938547391072</t>
  </si>
  <si>
    <t>23.403163893875398</t>
  </si>
  <si>
    <t>532.5766924670725</t>
  </si>
  <si>
    <t>23.610957055589697</t>
  </si>
  <si>
    <t>542.7631697459151</t>
  </si>
  <si>
    <t>1.0601127443736773</t>
  </si>
  <si>
    <t>23.93734576795763</t>
  </si>
  <si>
    <t>527.4113650424757</t>
  </si>
  <si>
    <t>25.319463241916427</t>
  </si>
  <si>
    <t>664.4852085644791</t>
  </si>
  <si>
    <t>23.457999187941542</t>
  </si>
  <si>
    <t>547.0270499180882</t>
  </si>
  <si>
    <t>23.749740867863057</t>
  </si>
  <si>
    <t>24.297104488963342</t>
  </si>
  <si>
    <t>574.6528391145523</t>
  </si>
  <si>
    <t>23.665733202630907</t>
  </si>
  <si>
    <t>549.7306685851777</t>
  </si>
  <si>
    <t>1.0509475956948982</t>
  </si>
  <si>
    <t>25.874329806008394</t>
  </si>
  <si>
    <t>1.0501909814780424</t>
  </si>
  <si>
    <t>24.490453688067948</t>
  </si>
  <si>
    <t>557.8119935776226</t>
  </si>
  <si>
    <t>0.6097450489097254</t>
  </si>
  <si>
    <t>1.0801866088367391</t>
  </si>
  <si>
    <t>0.6020014704423796</t>
  </si>
  <si>
    <t>0.9985343151172261</t>
  </si>
  <si>
    <t>1.032666728046336</t>
  </si>
  <si>
    <t>sum</t>
  </si>
  <si>
    <t>average</t>
  </si>
  <si>
    <t>Dose administered</t>
  </si>
  <si>
    <t>Adjusted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</si>
</sst>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Courier New"/>
      <family val="1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Effects</a:t>
            </a:r>
            <a:r>
              <a:rPr lang="en-GB" baseline="0"/>
              <a:t> of dose rate on output for 1.0mm beads at 6MV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beads_data_with_dose!$V$109:$V$117</c:f>
                <c:numCache>
                  <c:formatCode>General</c:formatCode>
                  <c:ptCount val="9"/>
                  <c:pt idx="0">
                    <c:v>0.21575385434014263</c:v>
                  </c:pt>
                  <c:pt idx="1">
                    <c:v>0.65862978983168496</c:v>
                  </c:pt>
                  <c:pt idx="2">
                    <c:v>0.21156842560150038</c:v>
                  </c:pt>
                  <c:pt idx="3">
                    <c:v>0.66696453110778653</c:v>
                  </c:pt>
                  <c:pt idx="4">
                    <c:v>0.45604320200322879</c:v>
                  </c:pt>
                  <c:pt idx="5">
                    <c:v>0.31115885936576149</c:v>
                  </c:pt>
                  <c:pt idx="6">
                    <c:v>0.3656288484491958</c:v>
                  </c:pt>
                  <c:pt idx="7">
                    <c:v>0.64371780101067388</c:v>
                  </c:pt>
                  <c:pt idx="8">
                    <c:v>8.4074381156100886E-2</c:v>
                  </c:pt>
                </c:numCache>
              </c:numRef>
            </c:plus>
            <c:minus>
              <c:numRef>
                <c:f>beads_data_with_dose!$V$109:$V$117</c:f>
                <c:numCache>
                  <c:formatCode>General</c:formatCode>
                  <c:ptCount val="9"/>
                  <c:pt idx="0">
                    <c:v>0.21575385434014263</c:v>
                  </c:pt>
                  <c:pt idx="1">
                    <c:v>0.65862978983168496</c:v>
                  </c:pt>
                  <c:pt idx="2">
                    <c:v>0.21156842560150038</c:v>
                  </c:pt>
                  <c:pt idx="3">
                    <c:v>0.66696453110778653</c:v>
                  </c:pt>
                  <c:pt idx="4">
                    <c:v>0.45604320200322879</c:v>
                  </c:pt>
                  <c:pt idx="5">
                    <c:v>0.31115885936576149</c:v>
                  </c:pt>
                  <c:pt idx="6">
                    <c:v>0.3656288484491958</c:v>
                  </c:pt>
                  <c:pt idx="7">
                    <c:v>0.64371780101067388</c:v>
                  </c:pt>
                  <c:pt idx="8">
                    <c:v>8.4074381156100886E-2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beads_data_with_dose!$T$109:$T$117</c:f>
              <c:numCache>
                <c:formatCode>General</c:formatCode>
                <c:ptCount val="9"/>
                <c:pt idx="0">
                  <c:v>600</c:v>
                </c:pt>
                <c:pt idx="1">
                  <c:v>500</c:v>
                </c:pt>
                <c:pt idx="2">
                  <c:v>400</c:v>
                </c:pt>
                <c:pt idx="3">
                  <c:v>300</c:v>
                </c:pt>
                <c:pt idx="4">
                  <c:v>200</c:v>
                </c:pt>
                <c:pt idx="5">
                  <c:v>100</c:v>
                </c:pt>
                <c:pt idx="6">
                  <c:v>80</c:v>
                </c:pt>
                <c:pt idx="7">
                  <c:v>60</c:v>
                </c:pt>
                <c:pt idx="8">
                  <c:v>0</c:v>
                </c:pt>
              </c:numCache>
            </c:numRef>
          </c:xVal>
          <c:yVal>
            <c:numRef>
              <c:f>beads_data_with_dose!$U$109:$U$117</c:f>
              <c:numCache>
                <c:formatCode>General</c:formatCode>
                <c:ptCount val="9"/>
                <c:pt idx="0">
                  <c:v>9.6541773963893203</c:v>
                </c:pt>
                <c:pt idx="1">
                  <c:v>9.1686961563696521</c:v>
                </c:pt>
                <c:pt idx="2">
                  <c:v>9.5291933258547576</c:v>
                </c:pt>
                <c:pt idx="3">
                  <c:v>9.0269590195963669</c:v>
                </c:pt>
                <c:pt idx="4">
                  <c:v>9.4095423008613661</c:v>
                </c:pt>
                <c:pt idx="5">
                  <c:v>9.8003279739590994</c:v>
                </c:pt>
                <c:pt idx="6">
                  <c:v>9.4448247976359117</c:v>
                </c:pt>
                <c:pt idx="7">
                  <c:v>9.0491563990778889</c:v>
                </c:pt>
                <c:pt idx="8">
                  <c:v>0.11941854660095483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92-084B-BB0C-76E33751B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603599"/>
        <c:axId val="1939077407"/>
      </c:scatterChart>
      <c:valAx>
        <c:axId val="204860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Dose rate (MU/min)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077407"/>
        <c:crosses val="autoZero"/>
        <c:crossBetween val="midCat"/>
      </c:valAx>
      <c:valAx>
        <c:axId val="193907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Adjusted</a:t>
                </a:r>
                <a:r>
                  <a:rPr lang="en-GB" baseline="0"/>
                  <a:t>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60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Effect</a:t>
            </a:r>
            <a:r>
              <a:rPr lang="en-GB" baseline="0"/>
              <a:t> of dose rate on output for 1.0mm beads at 10MV (10xFFF beam)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beads_data_with_dose!$W$154:$W$160</c:f>
                <c:numCache>
                  <c:formatCode>General</c:formatCode>
                  <c:ptCount val="7"/>
                  <c:pt idx="0">
                    <c:v>0.55913679999999999</c:v>
                  </c:pt>
                  <c:pt idx="1">
                    <c:v>0.1356531</c:v>
                  </c:pt>
                  <c:pt idx="2">
                    <c:v>0.70375650000000001</c:v>
                  </c:pt>
                  <c:pt idx="3">
                    <c:v>0.79652140000000005</c:v>
                  </c:pt>
                  <c:pt idx="4">
                    <c:v>1.0416776000000001</c:v>
                  </c:pt>
                  <c:pt idx="5">
                    <c:v>0.1857347</c:v>
                  </c:pt>
                  <c:pt idx="6">
                    <c:v>5.8457700000000001E-2</c:v>
                  </c:pt>
                </c:numCache>
              </c:numRef>
            </c:plus>
            <c:minus>
              <c:numRef>
                <c:f>beads_data_with_dose!$W$154:$W$160</c:f>
                <c:numCache>
                  <c:formatCode>General</c:formatCode>
                  <c:ptCount val="7"/>
                  <c:pt idx="0">
                    <c:v>0.55913679999999999</c:v>
                  </c:pt>
                  <c:pt idx="1">
                    <c:v>0.1356531</c:v>
                  </c:pt>
                  <c:pt idx="2">
                    <c:v>0.70375650000000001</c:v>
                  </c:pt>
                  <c:pt idx="3">
                    <c:v>0.79652140000000005</c:v>
                  </c:pt>
                  <c:pt idx="4">
                    <c:v>1.0416776000000001</c:v>
                  </c:pt>
                  <c:pt idx="5">
                    <c:v>0.1857347</c:v>
                  </c:pt>
                  <c:pt idx="6">
                    <c:v>5.8457700000000001E-2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beads_data_with_dose!$U$154:$U$160</c:f>
              <c:numCache>
                <c:formatCode>General</c:formatCode>
                <c:ptCount val="7"/>
                <c:pt idx="0">
                  <c:v>2400</c:v>
                </c:pt>
                <c:pt idx="1">
                  <c:v>2000</c:v>
                </c:pt>
                <c:pt idx="2">
                  <c:v>1600</c:v>
                </c:pt>
                <c:pt idx="3">
                  <c:v>1200</c:v>
                </c:pt>
                <c:pt idx="4">
                  <c:v>800</c:v>
                </c:pt>
                <c:pt idx="5">
                  <c:v>400</c:v>
                </c:pt>
                <c:pt idx="6">
                  <c:v>0</c:v>
                </c:pt>
              </c:numCache>
            </c:numRef>
          </c:xVal>
          <c:yVal>
            <c:numRef>
              <c:f>beads_data_with_dose!$V$154:$V$160</c:f>
              <c:numCache>
                <c:formatCode>General</c:formatCode>
                <c:ptCount val="7"/>
                <c:pt idx="0">
                  <c:v>9.2671384918412141</c:v>
                </c:pt>
                <c:pt idx="1">
                  <c:v>9.176961887386927</c:v>
                </c:pt>
                <c:pt idx="2">
                  <c:v>9.3650655516847419</c:v>
                </c:pt>
                <c:pt idx="3">
                  <c:v>9.7118840829337039</c:v>
                </c:pt>
                <c:pt idx="4">
                  <c:v>9.3202870445876229</c:v>
                </c:pt>
                <c:pt idx="5">
                  <c:v>9.3332371387145443</c:v>
                </c:pt>
                <c:pt idx="6">
                  <c:v>7.6146720889807201E-2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74-D24D-B754-33DB1C58E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602495"/>
        <c:axId val="1733604207"/>
      </c:scatterChart>
      <c:valAx>
        <c:axId val="173360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Dose</a:t>
                </a:r>
                <a:r>
                  <a:rPr lang="en-GB" baseline="0"/>
                  <a:t> rate (MU/ min)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04207"/>
        <c:crosses val="autoZero"/>
        <c:crossBetween val="midCat"/>
      </c:valAx>
      <c:valAx>
        <c:axId val="173360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Adjusted</a:t>
                </a:r>
                <a:r>
                  <a:rPr lang="en-GB" baseline="0"/>
                  <a:t>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0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Energy</a:t>
            </a:r>
            <a:r>
              <a:rPr lang="en-GB" baseline="0"/>
              <a:t> response in the kV range for 1.0mm beads</a:t>
            </a:r>
            <a:endParaRPr lang="en-GB"/>
          </a:p>
        </c:rich>
      </c:tx>
      <c:layout>
        <c:manualLayout>
          <c:xMode val="edge"/>
          <c:yMode val="edge"/>
          <c:x val="0.1116804461942257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beads_data_with_dose!$V$187:$V$191</c:f>
              <c:numCache>
                <c:formatCode>General</c:formatCode>
                <c:ptCount val="5"/>
                <c:pt idx="0">
                  <c:v>60</c:v>
                </c:pt>
                <c:pt idx="1">
                  <c:v>100</c:v>
                </c:pt>
                <c:pt idx="2">
                  <c:v>150</c:v>
                </c:pt>
                <c:pt idx="3">
                  <c:v>180</c:v>
                </c:pt>
                <c:pt idx="4">
                  <c:v>220</c:v>
                </c:pt>
              </c:numCache>
            </c:numRef>
          </c:xVal>
          <c:yVal>
            <c:numRef>
              <c:f>beads_data_with_dose!$W$187:$W$191</c:f>
              <c:numCache>
                <c:formatCode>General</c:formatCode>
                <c:ptCount val="5"/>
                <c:pt idx="0">
                  <c:v>37.221784999999997</c:v>
                </c:pt>
                <c:pt idx="1">
                  <c:v>35.521472000000003</c:v>
                </c:pt>
                <c:pt idx="2">
                  <c:v>30.227936</c:v>
                </c:pt>
                <c:pt idx="3">
                  <c:v>27.378171999999999</c:v>
                </c:pt>
                <c:pt idx="4">
                  <c:v>16.847006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45-CC46-A82D-714B05F3E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210495"/>
        <c:axId val="1770283311"/>
      </c:scatterChart>
      <c:valAx>
        <c:axId val="177021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Energy</a:t>
                </a:r>
                <a:r>
                  <a:rPr lang="en-GB" baseline="0"/>
                  <a:t> (kV)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283311"/>
        <c:crosses val="autoZero"/>
        <c:crossBetween val="midCat"/>
      </c:valAx>
      <c:valAx>
        <c:axId val="177028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Adjusted</a:t>
                </a:r>
                <a:r>
                  <a:rPr lang="en-GB" baseline="0"/>
                  <a:t>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21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Energy</a:t>
            </a:r>
            <a:r>
              <a:rPr lang="en-GB" baseline="0"/>
              <a:t> response in the MV range for 1.0mm beads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beads_data_with_dose!$V$194:$V$196</c:f>
              <c:numCache>
                <c:formatCode>General</c:formatCode>
                <c:ptCount val="3"/>
                <c:pt idx="0">
                  <c:v>10000</c:v>
                </c:pt>
              </c:numCache>
            </c:numRef>
          </c:xVal>
          <c:yVal>
            <c:numRef>
              <c:f>beads_data_with_dose!$W$194:$W$196</c:f>
              <c:numCache>
                <c:formatCode>General</c:formatCode>
                <c:ptCount val="3"/>
                <c:pt idx="0">
                  <c:v>9.1742972999999992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1B-294F-AF43-126CE6D4F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64479"/>
        <c:axId val="441327279"/>
      </c:scatterChart>
      <c:valAx>
        <c:axId val="78636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Energy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27279"/>
        <c:crosses val="autoZero"/>
        <c:crossBetween val="midCat"/>
      </c:valAx>
      <c:valAx>
        <c:axId val="441327279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Adjusted</a:t>
                </a:r>
                <a:r>
                  <a:rPr lang="en-GB" baseline="0"/>
                  <a:t>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64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Linearity</a:t>
            </a:r>
            <a:r>
              <a:rPr lang="en-GB" baseline="0"/>
              <a:t> for 1.5mm beads at 6MV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beads_data_with_dose!$W$231:$W$241</c:f>
                <c:numCache>
                  <c:formatCode>General</c:formatCode>
                  <c:ptCount val="11"/>
                  <c:pt idx="0">
                    <c:v>0.22784717971592694</c:v>
                  </c:pt>
                  <c:pt idx="1">
                    <c:v>0.20484218235217419</c:v>
                  </c:pt>
                  <c:pt idx="2">
                    <c:v>0.17023354788976572</c:v>
                  </c:pt>
                  <c:pt idx="3">
                    <c:v>0.34389454936581482</c:v>
                  </c:pt>
                  <c:pt idx="4">
                    <c:v>0.71533998953715783</c:v>
                  </c:pt>
                  <c:pt idx="5">
                    <c:v>3.0540583021464296</c:v>
                  </c:pt>
                  <c:pt idx="6">
                    <c:v>4.7951311057578154</c:v>
                  </c:pt>
                  <c:pt idx="7">
                    <c:v>6.2629701053879243</c:v>
                  </c:pt>
                  <c:pt idx="8">
                    <c:v>6.5541262581817898</c:v>
                  </c:pt>
                  <c:pt idx="9">
                    <c:v>30.478339783452466</c:v>
                  </c:pt>
                  <c:pt idx="10">
                    <c:v>50.570410614540343</c:v>
                  </c:pt>
                </c:numCache>
              </c:numRef>
            </c:plus>
            <c:minus>
              <c:numRef>
                <c:f>beads_data_with_dose!$W$231:$W$241</c:f>
                <c:numCache>
                  <c:formatCode>General</c:formatCode>
                  <c:ptCount val="11"/>
                  <c:pt idx="0">
                    <c:v>0.22784717971592694</c:v>
                  </c:pt>
                  <c:pt idx="1">
                    <c:v>0.20484218235217419</c:v>
                  </c:pt>
                  <c:pt idx="2">
                    <c:v>0.17023354788976572</c:v>
                  </c:pt>
                  <c:pt idx="3">
                    <c:v>0.34389454936581482</c:v>
                  </c:pt>
                  <c:pt idx="4">
                    <c:v>0.71533998953715783</c:v>
                  </c:pt>
                  <c:pt idx="5">
                    <c:v>3.0540583021464296</c:v>
                  </c:pt>
                  <c:pt idx="6">
                    <c:v>4.7951311057578154</c:v>
                  </c:pt>
                  <c:pt idx="7">
                    <c:v>6.2629701053879243</c:v>
                  </c:pt>
                  <c:pt idx="8">
                    <c:v>6.5541262581817898</c:v>
                  </c:pt>
                  <c:pt idx="9">
                    <c:v>30.478339783452466</c:v>
                  </c:pt>
                  <c:pt idx="10">
                    <c:v>50.570410614540343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beads_data_with_dose!$U$231:$U$241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250</c:v>
                </c:pt>
                <c:pt idx="6">
                  <c:v>500</c:v>
                </c:pt>
                <c:pt idx="7">
                  <c:v>1000</c:v>
                </c:pt>
                <c:pt idx="8">
                  <c:v>2000</c:v>
                </c:pt>
                <c:pt idx="9">
                  <c:v>3000</c:v>
                </c:pt>
                <c:pt idx="10">
                  <c:v>5000</c:v>
                </c:pt>
              </c:numCache>
            </c:numRef>
          </c:xVal>
          <c:yVal>
            <c:numRef>
              <c:f>beads_data_with_dose!$V$231:$V$241</c:f>
              <c:numCache>
                <c:formatCode>General</c:formatCode>
                <c:ptCount val="11"/>
                <c:pt idx="0">
                  <c:v>0.14888705231775384</c:v>
                </c:pt>
                <c:pt idx="1">
                  <c:v>1.307040027246092</c:v>
                </c:pt>
                <c:pt idx="2">
                  <c:v>2.9609315594818164</c:v>
                </c:pt>
                <c:pt idx="3">
                  <c:v>6.1344015575880544</c:v>
                </c:pt>
                <c:pt idx="4">
                  <c:v>12.394610860860798</c:v>
                </c:pt>
                <c:pt idx="5">
                  <c:v>31.408971839137159</c:v>
                </c:pt>
                <c:pt idx="6">
                  <c:v>57.998452588445403</c:v>
                </c:pt>
                <c:pt idx="7">
                  <c:v>124.98566998084561</c:v>
                </c:pt>
                <c:pt idx="8">
                  <c:v>252.13094473163801</c:v>
                </c:pt>
                <c:pt idx="9">
                  <c:v>376.75568106916461</c:v>
                </c:pt>
                <c:pt idx="10">
                  <c:v>650.82112387675477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45-314F-8976-077D8B974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633279"/>
        <c:axId val="1031634991"/>
      </c:scatterChart>
      <c:valAx>
        <c:axId val="103163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Administered</a:t>
                </a:r>
                <a:r>
                  <a:rPr lang="en-GB" baseline="0"/>
                  <a:t> dose (MU)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34991"/>
        <c:crosses val="autoZero"/>
        <c:crossBetween val="midCat"/>
      </c:valAx>
      <c:valAx>
        <c:axId val="103163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</a:t>
                </a:r>
                <a:r>
                  <a:rPr lang="en-GB" baseline="0"/>
                  <a:t>djusted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3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Linearity</a:t>
            </a:r>
            <a:r>
              <a:rPr lang="en-GB" baseline="0"/>
              <a:t> of 1.5mm beads at 10MV (10xFFF)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beads_data_with_dose!$X$287:$X$297</c:f>
                <c:numCache>
                  <c:formatCode>General</c:formatCode>
                  <c:ptCount val="11"/>
                  <c:pt idx="0">
                    <c:v>6.3304902564643536E-2</c:v>
                  </c:pt>
                  <c:pt idx="1">
                    <c:v>0.13836240879355977</c:v>
                  </c:pt>
                  <c:pt idx="2">
                    <c:v>7.1900069320931279E-2</c:v>
                  </c:pt>
                  <c:pt idx="3">
                    <c:v>0.46155170427128095</c:v>
                  </c:pt>
                  <c:pt idx="4">
                    <c:v>0.29775346908376382</c:v>
                  </c:pt>
                  <c:pt idx="5">
                    <c:v>1.6407306876887313</c:v>
                  </c:pt>
                  <c:pt idx="6">
                    <c:v>1.4827362475469008</c:v>
                  </c:pt>
                  <c:pt idx="7">
                    <c:v>2.3749224539914544</c:v>
                  </c:pt>
                  <c:pt idx="8">
                    <c:v>12.055070590040987</c:v>
                  </c:pt>
                  <c:pt idx="9">
                    <c:v>16.683329280055602</c:v>
                  </c:pt>
                  <c:pt idx="10">
                    <c:v>30.526834195549338</c:v>
                  </c:pt>
                </c:numCache>
              </c:numRef>
            </c:plus>
            <c:minus>
              <c:numRef>
                <c:f>beads_data_with_dose!$X$287:$X$297</c:f>
                <c:numCache>
                  <c:formatCode>General</c:formatCode>
                  <c:ptCount val="11"/>
                  <c:pt idx="0">
                    <c:v>6.3304902564643536E-2</c:v>
                  </c:pt>
                  <c:pt idx="1">
                    <c:v>0.13836240879355977</c:v>
                  </c:pt>
                  <c:pt idx="2">
                    <c:v>7.1900069320931279E-2</c:v>
                  </c:pt>
                  <c:pt idx="3">
                    <c:v>0.46155170427128095</c:v>
                  </c:pt>
                  <c:pt idx="4">
                    <c:v>0.29775346908376382</c:v>
                  </c:pt>
                  <c:pt idx="5">
                    <c:v>1.6407306876887313</c:v>
                  </c:pt>
                  <c:pt idx="6">
                    <c:v>1.4827362475469008</c:v>
                  </c:pt>
                  <c:pt idx="7">
                    <c:v>2.3749224539914544</c:v>
                  </c:pt>
                  <c:pt idx="8">
                    <c:v>12.055070590040987</c:v>
                  </c:pt>
                  <c:pt idx="9">
                    <c:v>16.683329280055602</c:v>
                  </c:pt>
                  <c:pt idx="10">
                    <c:v>30.526834195549338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beads_data_with_dose!$V$287:$V$297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250</c:v>
                </c:pt>
                <c:pt idx="6">
                  <c:v>500</c:v>
                </c:pt>
                <c:pt idx="7">
                  <c:v>1000</c:v>
                </c:pt>
                <c:pt idx="8">
                  <c:v>2000</c:v>
                </c:pt>
                <c:pt idx="9">
                  <c:v>3000</c:v>
                </c:pt>
                <c:pt idx="10">
                  <c:v>5000</c:v>
                </c:pt>
              </c:numCache>
            </c:numRef>
          </c:xVal>
          <c:yVal>
            <c:numRef>
              <c:f>beads_data_with_dose!$W$287:$W$297</c:f>
              <c:numCache>
                <c:formatCode>General</c:formatCode>
                <c:ptCount val="11"/>
                <c:pt idx="0">
                  <c:v>0.15948972397270694</c:v>
                </c:pt>
                <c:pt idx="1">
                  <c:v>1.2107404591617581</c:v>
                </c:pt>
                <c:pt idx="2">
                  <c:v>2.8161743712289664</c:v>
                </c:pt>
                <c:pt idx="3">
                  <c:v>6.4893261110265827</c:v>
                </c:pt>
                <c:pt idx="4">
                  <c:v>12.33830535174866</c:v>
                </c:pt>
                <c:pt idx="5">
                  <c:v>32.865665796952399</c:v>
                </c:pt>
                <c:pt idx="6">
                  <c:v>62.627072309005236</c:v>
                </c:pt>
                <c:pt idx="7">
                  <c:v>123.97617853708839</c:v>
                </c:pt>
                <c:pt idx="8">
                  <c:v>264.0997769593472</c:v>
                </c:pt>
                <c:pt idx="9">
                  <c:v>384.20218098979001</c:v>
                </c:pt>
                <c:pt idx="10">
                  <c:v>651.27466422579494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4A-0D45-88A7-D25195204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141983"/>
        <c:axId val="1734177983"/>
      </c:scatterChart>
      <c:valAx>
        <c:axId val="173414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Administered</a:t>
                </a:r>
                <a:r>
                  <a:rPr lang="en-GB" baseline="0"/>
                  <a:t> dose (MU)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77983"/>
        <c:crosses val="autoZero"/>
        <c:crossBetween val="midCat"/>
      </c:valAx>
      <c:valAx>
        <c:axId val="173417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Adjusted</a:t>
                </a:r>
                <a:r>
                  <a:rPr lang="en-GB" baseline="0"/>
                  <a:t>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4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Effect</a:t>
            </a:r>
            <a:r>
              <a:rPr lang="en-GB" baseline="0"/>
              <a:t> of dose rate on 1.5mm beads at 6MV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beads_data_with_dose!$X$351:$X$359</c:f>
                <c:numCache>
                  <c:formatCode>General</c:formatCode>
                  <c:ptCount val="9"/>
                  <c:pt idx="0">
                    <c:v>0.11604899316119151</c:v>
                  </c:pt>
                  <c:pt idx="1">
                    <c:v>0.75448844733770692</c:v>
                  </c:pt>
                  <c:pt idx="2">
                    <c:v>0.36630327247037353</c:v>
                  </c:pt>
                  <c:pt idx="3">
                    <c:v>0.38254589544545009</c:v>
                  </c:pt>
                  <c:pt idx="4">
                    <c:v>1.2480465645976326</c:v>
                  </c:pt>
                  <c:pt idx="5">
                    <c:v>0.31949973748708005</c:v>
                  </c:pt>
                  <c:pt idx="6">
                    <c:v>0.68558850768994894</c:v>
                  </c:pt>
                  <c:pt idx="7">
                    <c:v>1.122946844917535</c:v>
                  </c:pt>
                  <c:pt idx="8">
                    <c:v>1.2779910707251945</c:v>
                  </c:pt>
                </c:numCache>
              </c:numRef>
            </c:plus>
            <c:minus>
              <c:numRef>
                <c:f>beads_data_with_dose!$X$351:$X$359</c:f>
                <c:numCache>
                  <c:formatCode>General</c:formatCode>
                  <c:ptCount val="9"/>
                  <c:pt idx="0">
                    <c:v>0.11604899316119151</c:v>
                  </c:pt>
                  <c:pt idx="1">
                    <c:v>0.75448844733770692</c:v>
                  </c:pt>
                  <c:pt idx="2">
                    <c:v>0.36630327247037353</c:v>
                  </c:pt>
                  <c:pt idx="3">
                    <c:v>0.38254589544545009</c:v>
                  </c:pt>
                  <c:pt idx="4">
                    <c:v>1.2480465645976326</c:v>
                  </c:pt>
                  <c:pt idx="5">
                    <c:v>0.31949973748708005</c:v>
                  </c:pt>
                  <c:pt idx="6">
                    <c:v>0.68558850768994894</c:v>
                  </c:pt>
                  <c:pt idx="7">
                    <c:v>1.122946844917535</c:v>
                  </c:pt>
                  <c:pt idx="8">
                    <c:v>1.2779910707251945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beads_data_with_dose!$U$351:$U$359</c:f>
              <c:numCache>
                <c:formatCode>General</c:formatCode>
                <c:ptCount val="9"/>
                <c:pt idx="0">
                  <c:v>600</c:v>
                </c:pt>
                <c:pt idx="1">
                  <c:v>500</c:v>
                </c:pt>
                <c:pt idx="2">
                  <c:v>400</c:v>
                </c:pt>
                <c:pt idx="3">
                  <c:v>300</c:v>
                </c:pt>
                <c:pt idx="4">
                  <c:v>200</c:v>
                </c:pt>
                <c:pt idx="5">
                  <c:v>100</c:v>
                </c:pt>
                <c:pt idx="6">
                  <c:v>80</c:v>
                </c:pt>
                <c:pt idx="7">
                  <c:v>60</c:v>
                </c:pt>
                <c:pt idx="8">
                  <c:v>0</c:v>
                </c:pt>
              </c:numCache>
            </c:numRef>
          </c:xVal>
          <c:yVal>
            <c:numRef>
              <c:f>beads_data_with_dose!$V$351:$V$359</c:f>
              <c:numCache>
                <c:formatCode>General</c:formatCode>
                <c:ptCount val="9"/>
                <c:pt idx="0">
                  <c:v>25.547836104259904</c:v>
                </c:pt>
                <c:pt idx="1">
                  <c:v>24.657116448817259</c:v>
                </c:pt>
                <c:pt idx="2">
                  <c:v>24.519430759827301</c:v>
                </c:pt>
                <c:pt idx="3">
                  <c:v>24.846337627478441</c:v>
                </c:pt>
                <c:pt idx="4">
                  <c:v>25.082921427979919</c:v>
                </c:pt>
                <c:pt idx="5">
                  <c:v>25.092365951637881</c:v>
                </c:pt>
                <c:pt idx="6">
                  <c:v>25.131895544101845</c:v>
                </c:pt>
                <c:pt idx="7">
                  <c:v>25.291188735528703</c:v>
                </c:pt>
                <c:pt idx="8">
                  <c:v>0.15209973298737689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F4-C846-830E-293145128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872015"/>
        <c:axId val="1954977967"/>
      </c:scatterChart>
      <c:valAx>
        <c:axId val="195487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Dose</a:t>
                </a:r>
                <a:r>
                  <a:rPr lang="en-GB" baseline="0"/>
                  <a:t> rate (MU/min)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977967"/>
        <c:crosses val="autoZero"/>
        <c:crossBetween val="midCat"/>
      </c:valAx>
      <c:valAx>
        <c:axId val="195497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Adjusted</a:t>
                </a:r>
                <a:r>
                  <a:rPr lang="en-GB" baseline="0"/>
                  <a:t>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872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Effect</a:t>
            </a:r>
            <a:r>
              <a:rPr lang="en-GB" baseline="0"/>
              <a:t> of dose rate on 1.5mm beads at 10MV (10xFFF)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beads_data_with_dose!$Z$395:$Z$401</c:f>
                <c:numCache>
                  <c:formatCode>General</c:formatCode>
                  <c:ptCount val="7"/>
                  <c:pt idx="0">
                    <c:v>2.9438635956496553E-2</c:v>
                  </c:pt>
                  <c:pt idx="1">
                    <c:v>0.72951389235949948</c:v>
                  </c:pt>
                  <c:pt idx="2">
                    <c:v>0.78338416366524644</c:v>
                  </c:pt>
                  <c:pt idx="3">
                    <c:v>0.96128418218881895</c:v>
                  </c:pt>
                  <c:pt idx="4">
                    <c:v>1.0626449146962045</c:v>
                  </c:pt>
                  <c:pt idx="5">
                    <c:v>0.52491326543899486</c:v>
                  </c:pt>
                  <c:pt idx="6">
                    <c:v>0.47703235219016243</c:v>
                  </c:pt>
                </c:numCache>
              </c:numRef>
            </c:plus>
            <c:minus>
              <c:numRef>
                <c:f>beads_data_with_dose!$Z$395:$Z$401</c:f>
                <c:numCache>
                  <c:formatCode>General</c:formatCode>
                  <c:ptCount val="7"/>
                  <c:pt idx="0">
                    <c:v>2.9438635956496553E-2</c:v>
                  </c:pt>
                  <c:pt idx="1">
                    <c:v>0.72951389235949948</c:v>
                  </c:pt>
                  <c:pt idx="2">
                    <c:v>0.78338416366524644</c:v>
                  </c:pt>
                  <c:pt idx="3">
                    <c:v>0.96128418218881895</c:v>
                  </c:pt>
                  <c:pt idx="4">
                    <c:v>1.0626449146962045</c:v>
                  </c:pt>
                  <c:pt idx="5">
                    <c:v>0.52491326543899486</c:v>
                  </c:pt>
                  <c:pt idx="6">
                    <c:v>0.47703235219016243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beads_data_with_dose!$W$395:$W$401</c:f>
              <c:numCache>
                <c:formatCode>General</c:formatCode>
                <c:ptCount val="7"/>
                <c:pt idx="0">
                  <c:v>2400</c:v>
                </c:pt>
                <c:pt idx="1">
                  <c:v>2000</c:v>
                </c:pt>
                <c:pt idx="2">
                  <c:v>1600</c:v>
                </c:pt>
                <c:pt idx="3">
                  <c:v>1200</c:v>
                </c:pt>
                <c:pt idx="4">
                  <c:v>800</c:v>
                </c:pt>
                <c:pt idx="5">
                  <c:v>400</c:v>
                </c:pt>
                <c:pt idx="6">
                  <c:v>0</c:v>
                </c:pt>
              </c:numCache>
            </c:numRef>
          </c:xVal>
          <c:yVal>
            <c:numRef>
              <c:f>beads_data_with_dose!$X$395:$X$401</c:f>
              <c:numCache>
                <c:formatCode>General</c:formatCode>
                <c:ptCount val="7"/>
                <c:pt idx="0">
                  <c:v>24.080114258971662</c:v>
                </c:pt>
                <c:pt idx="1">
                  <c:v>23.7715023106533</c:v>
                </c:pt>
                <c:pt idx="2">
                  <c:v>23.548785644699841</c:v>
                </c:pt>
                <c:pt idx="3">
                  <c:v>23.852739970258519</c:v>
                </c:pt>
                <c:pt idx="4">
                  <c:v>24.174318431040899</c:v>
                </c:pt>
                <c:pt idx="5">
                  <c:v>23.669748401147558</c:v>
                </c:pt>
                <c:pt idx="6">
                  <c:v>0.10047643456579418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5C-FC41-A0BF-4B2515515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396111"/>
        <c:axId val="1955397823"/>
      </c:scatterChart>
      <c:valAx>
        <c:axId val="195539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Dose</a:t>
                </a:r>
                <a:r>
                  <a:rPr lang="en-GB" baseline="0"/>
                  <a:t> rate (MU/min)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397823"/>
        <c:crosses val="autoZero"/>
        <c:crossBetween val="midCat"/>
      </c:valAx>
      <c:valAx>
        <c:axId val="195539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Adjusted</a:t>
                </a:r>
                <a:r>
                  <a:rPr lang="en-GB" baseline="0"/>
                  <a:t>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396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Linearity</a:t>
            </a:r>
            <a:r>
              <a:rPr lang="en-GB" baseline="0"/>
              <a:t> for 1.0mm beads at 6MV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beads_data_with_dose!$X$18:$X$28</c:f>
                <c:numCache>
                  <c:formatCode>General</c:formatCode>
                  <c:ptCount val="11"/>
                  <c:pt idx="0">
                    <c:v>3.6743591513048235E-2</c:v>
                  </c:pt>
                  <c:pt idx="1">
                    <c:v>5.30973E-2</c:v>
                  </c:pt>
                  <c:pt idx="2">
                    <c:v>2.4845200000000001E-2</c:v>
                  </c:pt>
                  <c:pt idx="3">
                    <c:v>0.1670025</c:v>
                  </c:pt>
                  <c:pt idx="4">
                    <c:v>0.32099699999999998</c:v>
                  </c:pt>
                  <c:pt idx="5">
                    <c:v>1.1122578000000001</c:v>
                  </c:pt>
                  <c:pt idx="6">
                    <c:v>1.2527808875692221</c:v>
                  </c:pt>
                  <c:pt idx="7">
                    <c:v>4.3784858474458872</c:v>
                  </c:pt>
                  <c:pt idx="8">
                    <c:v>8.0583674880345519</c:v>
                  </c:pt>
                  <c:pt idx="9">
                    <c:v>4.3510815978940895</c:v>
                  </c:pt>
                  <c:pt idx="10">
                    <c:v>12.823779168160412</c:v>
                  </c:pt>
                </c:numCache>
              </c:numRef>
            </c:plus>
            <c:minus>
              <c:numRef>
                <c:f>beads_data_with_dose!$X$18:$X$28</c:f>
                <c:numCache>
                  <c:formatCode>General</c:formatCode>
                  <c:ptCount val="11"/>
                  <c:pt idx="0">
                    <c:v>3.6743591513048235E-2</c:v>
                  </c:pt>
                  <c:pt idx="1">
                    <c:v>5.30973E-2</c:v>
                  </c:pt>
                  <c:pt idx="2">
                    <c:v>2.4845200000000001E-2</c:v>
                  </c:pt>
                  <c:pt idx="3">
                    <c:v>0.1670025</c:v>
                  </c:pt>
                  <c:pt idx="4">
                    <c:v>0.32099699999999998</c:v>
                  </c:pt>
                  <c:pt idx="5">
                    <c:v>1.1122578000000001</c:v>
                  </c:pt>
                  <c:pt idx="6">
                    <c:v>1.2527808875692221</c:v>
                  </c:pt>
                  <c:pt idx="7">
                    <c:v>4.3784858474458872</c:v>
                  </c:pt>
                  <c:pt idx="8">
                    <c:v>8.0583674880345519</c:v>
                  </c:pt>
                  <c:pt idx="9">
                    <c:v>4.3510815978940895</c:v>
                  </c:pt>
                  <c:pt idx="10">
                    <c:v>12.823779168160412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beads_data_with_dose!$V$2:$V$12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250</c:v>
                </c:pt>
                <c:pt idx="6">
                  <c:v>500</c:v>
                </c:pt>
                <c:pt idx="7">
                  <c:v>1000</c:v>
                </c:pt>
                <c:pt idx="8">
                  <c:v>2000</c:v>
                </c:pt>
                <c:pt idx="9">
                  <c:v>3000</c:v>
                </c:pt>
                <c:pt idx="10">
                  <c:v>5000</c:v>
                </c:pt>
              </c:numCache>
            </c:numRef>
          </c:xVal>
          <c:yVal>
            <c:numRef>
              <c:f>beads_data_with_dose!$W$2:$W$12</c:f>
              <c:numCache>
                <c:formatCode>General</c:formatCode>
                <c:ptCount val="11"/>
                <c:pt idx="0">
                  <c:v>3.8711000000000002E-2</c:v>
                </c:pt>
                <c:pt idx="1">
                  <c:v>0.269818</c:v>
                </c:pt>
                <c:pt idx="2">
                  <c:v>1.208655</c:v>
                </c:pt>
                <c:pt idx="3">
                  <c:v>2.2208100000000002</c:v>
                </c:pt>
                <c:pt idx="4">
                  <c:v>4.5702829999999999</c:v>
                </c:pt>
                <c:pt idx="5">
                  <c:v>12.18261</c:v>
                </c:pt>
                <c:pt idx="6">
                  <c:v>24.145980000000002</c:v>
                </c:pt>
                <c:pt idx="7">
                  <c:v>52.419587</c:v>
                </c:pt>
                <c:pt idx="8">
                  <c:v>97.882050000000007</c:v>
                </c:pt>
                <c:pt idx="9">
                  <c:v>143.24789999999999</c:v>
                </c:pt>
                <c:pt idx="10">
                  <c:v>249.28460000000001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A7-504D-A3B9-6612F2AB8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944719"/>
        <c:axId val="830464687"/>
      </c:scatterChart>
      <c:valAx>
        <c:axId val="82994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Administered</a:t>
                </a:r>
                <a:r>
                  <a:rPr lang="en-GB" baseline="0"/>
                  <a:t> dose (MU)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64687"/>
        <c:crosses val="autoZero"/>
        <c:crossBetween val="midCat"/>
      </c:valAx>
      <c:valAx>
        <c:axId val="83046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Adjusted</a:t>
                </a:r>
                <a:r>
                  <a:rPr lang="en-GB" baseline="0"/>
                  <a:t>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94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Linearity of 1.0mm beads at 10MV (10xFFF beam)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beads_data_with_dose!$X$55:$X$65</c:f>
                <c:numCache>
                  <c:formatCode>General</c:formatCode>
                  <c:ptCount val="11"/>
                  <c:pt idx="0">
                    <c:v>3.1658999694371623E-2</c:v>
                  </c:pt>
                  <c:pt idx="1">
                    <c:v>6.9470649050545619E-2</c:v>
                  </c:pt>
                  <c:pt idx="2">
                    <c:v>0.21835470813500862</c:v>
                  </c:pt>
                  <c:pt idx="3">
                    <c:v>0.15976449572329424</c:v>
                  </c:pt>
                  <c:pt idx="4">
                    <c:v>0.48069142719107383</c:v>
                  </c:pt>
                  <c:pt idx="5">
                    <c:v>1.0089519257177868</c:v>
                  </c:pt>
                  <c:pt idx="6">
                    <c:v>1.9682142334435007</c:v>
                  </c:pt>
                  <c:pt idx="7">
                    <c:v>3.8828439080214179</c:v>
                  </c:pt>
                  <c:pt idx="8">
                    <c:v>9.6824546211574471</c:v>
                  </c:pt>
                  <c:pt idx="9">
                    <c:v>12.415692331135094</c:v>
                  </c:pt>
                  <c:pt idx="10">
                    <c:v>26.230887728473064</c:v>
                  </c:pt>
                </c:numCache>
              </c:numRef>
            </c:plus>
            <c:minus>
              <c:numRef>
                <c:f>beads_data_with_dose!$X$55:$X$65</c:f>
                <c:numCache>
                  <c:formatCode>General</c:formatCode>
                  <c:ptCount val="11"/>
                  <c:pt idx="0">
                    <c:v>3.1658999694371623E-2</c:v>
                  </c:pt>
                  <c:pt idx="1">
                    <c:v>6.9470649050545619E-2</c:v>
                  </c:pt>
                  <c:pt idx="2">
                    <c:v>0.21835470813500862</c:v>
                  </c:pt>
                  <c:pt idx="3">
                    <c:v>0.15976449572329424</c:v>
                  </c:pt>
                  <c:pt idx="4">
                    <c:v>0.48069142719107383</c:v>
                  </c:pt>
                  <c:pt idx="5">
                    <c:v>1.0089519257177868</c:v>
                  </c:pt>
                  <c:pt idx="6">
                    <c:v>1.9682142334435007</c:v>
                  </c:pt>
                  <c:pt idx="7">
                    <c:v>3.8828439080214179</c:v>
                  </c:pt>
                  <c:pt idx="8">
                    <c:v>9.6824546211574471</c:v>
                  </c:pt>
                  <c:pt idx="9">
                    <c:v>12.415692331135094</c:v>
                  </c:pt>
                  <c:pt idx="10">
                    <c:v>26.230887728473064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beads_data_with_dose!$V$55:$V$65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250</c:v>
                </c:pt>
                <c:pt idx="6">
                  <c:v>500</c:v>
                </c:pt>
                <c:pt idx="7">
                  <c:v>1000</c:v>
                </c:pt>
                <c:pt idx="8">
                  <c:v>2000</c:v>
                </c:pt>
                <c:pt idx="9">
                  <c:v>3000</c:v>
                </c:pt>
                <c:pt idx="10">
                  <c:v>5000</c:v>
                </c:pt>
              </c:numCache>
            </c:numRef>
          </c:xVal>
          <c:yVal>
            <c:numRef>
              <c:f>beads_data_with_dose!$W$55:$W$65</c:f>
              <c:numCache>
                <c:formatCode>General</c:formatCode>
                <c:ptCount val="11"/>
                <c:pt idx="0">
                  <c:v>5.8147565694246284E-2</c:v>
                </c:pt>
                <c:pt idx="1">
                  <c:v>0.83436500000000002</c:v>
                </c:pt>
                <c:pt idx="2">
                  <c:v>1.245355</c:v>
                </c:pt>
                <c:pt idx="3">
                  <c:v>2.4239190000000002</c:v>
                </c:pt>
                <c:pt idx="4">
                  <c:v>4.8046030000000002</c:v>
                </c:pt>
                <c:pt idx="5">
                  <c:v>12.423319542554079</c:v>
                </c:pt>
                <c:pt idx="6">
                  <c:v>25.458052816690923</c:v>
                </c:pt>
                <c:pt idx="7">
                  <c:v>48.045728521497821</c:v>
                </c:pt>
                <c:pt idx="8">
                  <c:v>107.8531304070693</c:v>
                </c:pt>
                <c:pt idx="9">
                  <c:v>147.99282852842859</c:v>
                </c:pt>
                <c:pt idx="10">
                  <c:v>256.9670668789575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B9-924C-AFDF-D1C5FD80F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26543"/>
        <c:axId val="2130028255"/>
      </c:scatterChart>
      <c:valAx>
        <c:axId val="213002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Administered dose (MU)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028255"/>
        <c:crosses val="autoZero"/>
        <c:crossBetween val="midCat"/>
      </c:valAx>
      <c:valAx>
        <c:axId val="213002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Adjusted</a:t>
                </a:r>
                <a:r>
                  <a:rPr lang="en-GB" baseline="0"/>
                  <a:t>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02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Energy</a:t>
            </a:r>
            <a:r>
              <a:rPr lang="en-GB" baseline="0"/>
              <a:t> response of 1.0mm beads from 0v - 10000kV (10 xFFF beam)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beads_data_with_dose!$X$186:$X$194</c:f>
                <c:numCache>
                  <c:formatCode>General</c:formatCode>
                  <c:ptCount val="9"/>
                  <c:pt idx="0">
                    <c:v>7.8697380985149293E-2</c:v>
                  </c:pt>
                  <c:pt idx="1">
                    <c:v>2.5745111518089216</c:v>
                  </c:pt>
                  <c:pt idx="2">
                    <c:v>1.4623680637815459</c:v>
                  </c:pt>
                  <c:pt idx="3">
                    <c:v>1.6990681482490591</c:v>
                  </c:pt>
                  <c:pt idx="4">
                    <c:v>1.0874388464696705</c:v>
                  </c:pt>
                  <c:pt idx="5">
                    <c:v>1.0705705903914937</c:v>
                  </c:pt>
                  <c:pt idx="6">
                    <c:v>0.59056910912385785</c:v>
                  </c:pt>
                  <c:pt idx="7">
                    <c:v>0.23005169878830736</c:v>
                  </c:pt>
                  <c:pt idx="8">
                    <c:v>0.32481463829243923</c:v>
                  </c:pt>
                </c:numCache>
              </c:numRef>
            </c:plus>
            <c:minus>
              <c:numRef>
                <c:f>beads_data_with_dose!$X$186:$X$194</c:f>
                <c:numCache>
                  <c:formatCode>General</c:formatCode>
                  <c:ptCount val="9"/>
                  <c:pt idx="0">
                    <c:v>7.8697380985149293E-2</c:v>
                  </c:pt>
                  <c:pt idx="1">
                    <c:v>2.5745111518089216</c:v>
                  </c:pt>
                  <c:pt idx="2">
                    <c:v>1.4623680637815459</c:v>
                  </c:pt>
                  <c:pt idx="3">
                    <c:v>1.6990681482490591</c:v>
                  </c:pt>
                  <c:pt idx="4">
                    <c:v>1.0874388464696705</c:v>
                  </c:pt>
                  <c:pt idx="5">
                    <c:v>1.0705705903914937</c:v>
                  </c:pt>
                  <c:pt idx="6">
                    <c:v>0.59056910912385785</c:v>
                  </c:pt>
                  <c:pt idx="7">
                    <c:v>0.23005169878830736</c:v>
                  </c:pt>
                  <c:pt idx="8">
                    <c:v>0.32481463829243923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beads_data_with_dose!$V$186:$V$194</c:f>
              <c:numCache>
                <c:formatCode>General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100</c:v>
                </c:pt>
                <c:pt idx="3">
                  <c:v>150</c:v>
                </c:pt>
                <c:pt idx="4">
                  <c:v>180</c:v>
                </c:pt>
                <c:pt idx="5">
                  <c:v>220</c:v>
                </c:pt>
                <c:pt idx="6">
                  <c:v>6000</c:v>
                </c:pt>
                <c:pt idx="7">
                  <c:v>10000</c:v>
                </c:pt>
                <c:pt idx="8">
                  <c:v>10000</c:v>
                </c:pt>
              </c:numCache>
            </c:numRef>
          </c:xVal>
          <c:yVal>
            <c:numRef>
              <c:f>beads_data_with_dose!$W$186:$W$194</c:f>
              <c:numCache>
                <c:formatCode>General</c:formatCode>
                <c:ptCount val="9"/>
                <c:pt idx="0">
                  <c:v>5.6206937140110713E-2</c:v>
                </c:pt>
                <c:pt idx="1">
                  <c:v>37.221784999999997</c:v>
                </c:pt>
                <c:pt idx="2">
                  <c:v>35.521472000000003</c:v>
                </c:pt>
                <c:pt idx="3">
                  <c:v>30.227936</c:v>
                </c:pt>
                <c:pt idx="4">
                  <c:v>27.378171999999999</c:v>
                </c:pt>
                <c:pt idx="5">
                  <c:v>16.847006</c:v>
                </c:pt>
                <c:pt idx="6">
                  <c:v>9.6572875000000007</c:v>
                </c:pt>
                <c:pt idx="7">
                  <c:v>9.2638026999999994</c:v>
                </c:pt>
                <c:pt idx="8">
                  <c:v>9.1742972999999992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4A-D344-B666-23030E8FD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118112"/>
        <c:axId val="213751072"/>
      </c:scatterChart>
      <c:valAx>
        <c:axId val="164911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Beam</a:t>
                </a:r>
                <a:r>
                  <a:rPr lang="en-GB" baseline="0"/>
                  <a:t> energy (kV)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51072"/>
        <c:crosses val="autoZero"/>
        <c:crossBetween val="midCat"/>
      </c:valAx>
      <c:valAx>
        <c:axId val="2137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Adjusted</a:t>
                </a:r>
                <a:r>
                  <a:rPr lang="en-GB" baseline="0"/>
                  <a:t>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11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Energy</a:t>
            </a:r>
            <a:r>
              <a:rPr lang="en-GB" baseline="0"/>
              <a:t> response of 1.5mm beads from 0V-10000kV (10xFFF beam)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beads_data_with_dose!$Y$441:$Y$449</c:f>
                <c:numCache>
                  <c:formatCode>General</c:formatCode>
                  <c:ptCount val="9"/>
                  <c:pt idx="0">
                    <c:v>6.7975702290995088E-2</c:v>
                  </c:pt>
                  <c:pt idx="1">
                    <c:v>4.6069720749456815</c:v>
                  </c:pt>
                  <c:pt idx="2">
                    <c:v>4.0971072983487034</c:v>
                  </c:pt>
                  <c:pt idx="3">
                    <c:v>1.9805460845167475</c:v>
                  </c:pt>
                  <c:pt idx="4">
                    <c:v>1.8302084402513408</c:v>
                  </c:pt>
                  <c:pt idx="5">
                    <c:v>0.40381918458078431</c:v>
                  </c:pt>
                  <c:pt idx="6">
                    <c:v>0.93584776324708152</c:v>
                  </c:pt>
                  <c:pt idx="7">
                    <c:v>0.6843501036642704</c:v>
                  </c:pt>
                  <c:pt idx="8">
                    <c:v>0.87079395787239522</c:v>
                  </c:pt>
                </c:numCache>
              </c:numRef>
            </c:plus>
            <c:minus>
              <c:numRef>
                <c:f>beads_data_with_dose!$Y$441:$Y$449</c:f>
                <c:numCache>
                  <c:formatCode>General</c:formatCode>
                  <c:ptCount val="9"/>
                  <c:pt idx="0">
                    <c:v>6.7975702290995088E-2</c:v>
                  </c:pt>
                  <c:pt idx="1">
                    <c:v>4.6069720749456815</c:v>
                  </c:pt>
                  <c:pt idx="2">
                    <c:v>4.0971072983487034</c:v>
                  </c:pt>
                  <c:pt idx="3">
                    <c:v>1.9805460845167475</c:v>
                  </c:pt>
                  <c:pt idx="4">
                    <c:v>1.8302084402513408</c:v>
                  </c:pt>
                  <c:pt idx="5">
                    <c:v>0.40381918458078431</c:v>
                  </c:pt>
                  <c:pt idx="6">
                    <c:v>0.93584776324708152</c:v>
                  </c:pt>
                  <c:pt idx="7">
                    <c:v>0.6843501036642704</c:v>
                  </c:pt>
                  <c:pt idx="8">
                    <c:v>0.87079395787239522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beads_data_with_dose!$W$441:$W$449</c:f>
              <c:numCache>
                <c:formatCode>General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100</c:v>
                </c:pt>
                <c:pt idx="3">
                  <c:v>150</c:v>
                </c:pt>
                <c:pt idx="4">
                  <c:v>180</c:v>
                </c:pt>
                <c:pt idx="5">
                  <c:v>220</c:v>
                </c:pt>
                <c:pt idx="6">
                  <c:v>6000</c:v>
                </c:pt>
                <c:pt idx="7">
                  <c:v>10000</c:v>
                </c:pt>
                <c:pt idx="8">
                  <c:v>10000</c:v>
                </c:pt>
              </c:numCache>
            </c:numRef>
          </c:xVal>
          <c:yVal>
            <c:numRef>
              <c:f>beads_data_with_dose!$X$441:$X$449</c:f>
              <c:numCache>
                <c:formatCode>General</c:formatCode>
                <c:ptCount val="9"/>
                <c:pt idx="0">
                  <c:v>0.10352744923441193</c:v>
                </c:pt>
                <c:pt idx="1">
                  <c:v>90.705557259596475</c:v>
                </c:pt>
                <c:pt idx="2">
                  <c:v>88.985059606533341</c:v>
                </c:pt>
                <c:pt idx="3">
                  <c:v>73.754525972916937</c:v>
                </c:pt>
                <c:pt idx="4">
                  <c:v>68.094438991980596</c:v>
                </c:pt>
                <c:pt idx="5">
                  <c:v>41.665936343373097</c:v>
                </c:pt>
                <c:pt idx="6">
                  <c:v>24.064174000000001</c:v>
                </c:pt>
                <c:pt idx="7">
                  <c:v>23.397473000000002</c:v>
                </c:pt>
                <c:pt idx="8">
                  <c:v>23.747340000000001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66-944B-972E-BE513942D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347968"/>
        <c:axId val="213399152"/>
      </c:scatterChart>
      <c:valAx>
        <c:axId val="51734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Energy</a:t>
                </a:r>
                <a:r>
                  <a:rPr lang="en-GB" baseline="0"/>
                  <a:t> (kV)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99152"/>
        <c:crosses val="autoZero"/>
        <c:crossBetween val="midCat"/>
      </c:valAx>
      <c:valAx>
        <c:axId val="21339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Ajudtsed</a:t>
                </a:r>
                <a:r>
                  <a:rPr lang="en-GB" baseline="0"/>
                  <a:t>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4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240003</xdr:colOff>
      <xdr:row>105</xdr:row>
      <xdr:rowOff>197192</xdr:rowOff>
    </xdr:from>
    <xdr:to>
      <xdr:col>29</xdr:col>
      <xdr:colOff>684504</xdr:colOff>
      <xdr:row>119</xdr:row>
      <xdr:rowOff>95592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CD41502-0A2D-06DF-913F-7D8268970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664018</xdr:colOff>
      <xdr:row>151</xdr:row>
      <xdr:rowOff>158135</xdr:rowOff>
    </xdr:from>
    <xdr:to>
      <xdr:col>30</xdr:col>
      <xdr:colOff>289164</xdr:colOff>
      <xdr:row>165</xdr:row>
      <xdr:rowOff>54896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F8F6B13-D684-6090-71BB-566A52028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233515</xdr:colOff>
      <xdr:row>177</xdr:row>
      <xdr:rowOff>130552</xdr:rowOff>
    </xdr:from>
    <xdr:to>
      <xdr:col>35</xdr:col>
      <xdr:colOff>708741</xdr:colOff>
      <xdr:row>191</xdr:row>
      <xdr:rowOff>6011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FFD8EB0-A3C5-0DBD-0B62-192AC59EE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260828</xdr:colOff>
      <xdr:row>192</xdr:row>
      <xdr:rowOff>171519</xdr:rowOff>
    </xdr:from>
    <xdr:to>
      <xdr:col>35</xdr:col>
      <xdr:colOff>736054</xdr:colOff>
      <xdr:row>206</xdr:row>
      <xdr:rowOff>46977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83025B1-B0F9-DE61-6BE7-6BE2F1CEB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28677</xdr:colOff>
      <xdr:row>229</xdr:row>
      <xdr:rowOff>144206</xdr:rowOff>
    </xdr:from>
    <xdr:to>
      <xdr:col>31</xdr:col>
      <xdr:colOff>503903</xdr:colOff>
      <xdr:row>243</xdr:row>
      <xdr:rowOff>19665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4FA901F-C797-BD13-4DD4-9B31B1FEB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807064</xdr:colOff>
      <xdr:row>284</xdr:row>
      <xdr:rowOff>185174</xdr:rowOff>
    </xdr:from>
    <xdr:to>
      <xdr:col>31</xdr:col>
      <xdr:colOff>462935</xdr:colOff>
      <xdr:row>298</xdr:row>
      <xdr:rowOff>60633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8E80458-E5A2-9682-13F8-544305FF5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219860</xdr:colOff>
      <xdr:row>347</xdr:row>
      <xdr:rowOff>103238</xdr:rowOff>
    </xdr:from>
    <xdr:to>
      <xdr:col>30</xdr:col>
      <xdr:colOff>695086</xdr:colOff>
      <xdr:row>360</xdr:row>
      <xdr:rowOff>183536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3B2A541-300D-BB14-EA23-2C76ABAC2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356419</xdr:colOff>
      <xdr:row>401</xdr:row>
      <xdr:rowOff>198830</xdr:rowOff>
    </xdr:from>
    <xdr:to>
      <xdr:col>27</xdr:col>
      <xdr:colOff>12290</xdr:colOff>
      <xdr:row>415</xdr:row>
      <xdr:rowOff>74288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FB2E52D-9B43-A5D9-5993-968991578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411043</xdr:colOff>
      <xdr:row>0</xdr:row>
      <xdr:rowOff>48615</xdr:rowOff>
    </xdr:from>
    <xdr:to>
      <xdr:col>31</xdr:col>
      <xdr:colOff>66914</xdr:colOff>
      <xdr:row>13</xdr:row>
      <xdr:rowOff>87944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0A0588C-B563-BCAE-21A8-32341260A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165237</xdr:colOff>
      <xdr:row>50</xdr:row>
      <xdr:rowOff>21303</xdr:rowOff>
    </xdr:from>
    <xdr:to>
      <xdr:col>30</xdr:col>
      <xdr:colOff>640463</xdr:colOff>
      <xdr:row>63</xdr:row>
      <xdr:rowOff>101600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F93FA8A-0FC6-E17A-B661-52B78F052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192549</xdr:colOff>
      <xdr:row>181</xdr:row>
      <xdr:rowOff>185174</xdr:rowOff>
    </xdr:from>
    <xdr:to>
      <xdr:col>29</xdr:col>
      <xdr:colOff>667775</xdr:colOff>
      <xdr:row>195</xdr:row>
      <xdr:rowOff>60632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8DCE6B8-B803-73AA-3640-F22053948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629537</xdr:colOff>
      <xdr:row>437</xdr:row>
      <xdr:rowOff>130550</xdr:rowOff>
    </xdr:from>
    <xdr:to>
      <xdr:col>31</xdr:col>
      <xdr:colOff>285408</xdr:colOff>
      <xdr:row>451</xdr:row>
      <xdr:rowOff>6008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11531F1-20C4-39F3-3A95-53A18B030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AB8B9-0433-8342-80D5-2192311E1564}">
  <dimension ref="A1:Z466"/>
  <sheetViews>
    <sheetView tabSelected="1" topLeftCell="N432" zoomScale="93" workbookViewId="0">
      <selection activeCell="Y451" sqref="Y451"/>
    </sheetView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1433</v>
      </c>
      <c r="T1" t="s">
        <v>1434</v>
      </c>
      <c r="V1" t="s">
        <v>1435</v>
      </c>
      <c r="W1" t="s">
        <v>1436</v>
      </c>
    </row>
    <row r="2" spans="1:25" ht="19" x14ac:dyDescent="0.25">
      <c r="A2">
        <v>1</v>
      </c>
      <c r="B2">
        <v>1</v>
      </c>
      <c r="C2">
        <v>1</v>
      </c>
      <c r="D2" t="s">
        <v>17</v>
      </c>
      <c r="E2" t="s">
        <v>18</v>
      </c>
      <c r="F2">
        <v>0.995</v>
      </c>
      <c r="G2">
        <v>6</v>
      </c>
      <c r="H2">
        <v>10</v>
      </c>
      <c r="I2">
        <v>10</v>
      </c>
      <c r="J2">
        <v>40.85</v>
      </c>
      <c r="K2">
        <v>0.86360000000000003</v>
      </c>
      <c r="L2" s="1" t="s">
        <v>19</v>
      </c>
      <c r="M2" s="1" t="s">
        <v>20</v>
      </c>
      <c r="N2" t="b">
        <v>0</v>
      </c>
      <c r="O2" s="1" t="s">
        <v>21</v>
      </c>
      <c r="P2" s="1">
        <v>0.245782564069295</v>
      </c>
      <c r="Q2" s="1" t="s">
        <v>22</v>
      </c>
      <c r="S2">
        <f>P2+P3+P4+P5+P6</f>
        <v>1.3490881487429811</v>
      </c>
      <c r="T2">
        <f>S2/5</f>
        <v>0.26981762974859624</v>
      </c>
      <c r="V2">
        <v>0</v>
      </c>
      <c r="W2">
        <v>3.8711000000000002E-2</v>
      </c>
      <c r="Y2" s="2"/>
    </row>
    <row r="3" spans="1:25" x14ac:dyDescent="0.2">
      <c r="A3">
        <v>1</v>
      </c>
      <c r="B3">
        <v>1</v>
      </c>
      <c r="C3">
        <v>2</v>
      </c>
      <c r="D3" t="s">
        <v>23</v>
      </c>
      <c r="E3" t="s">
        <v>18</v>
      </c>
      <c r="F3">
        <v>0.995</v>
      </c>
      <c r="G3">
        <v>6</v>
      </c>
      <c r="H3">
        <v>10</v>
      </c>
      <c r="I3">
        <v>10</v>
      </c>
      <c r="J3">
        <v>40.840000000000003</v>
      </c>
      <c r="K3">
        <v>0.86280000000000001</v>
      </c>
      <c r="L3" s="1" t="s">
        <v>24</v>
      </c>
      <c r="M3" s="1" t="s">
        <v>25</v>
      </c>
      <c r="N3" t="b">
        <v>0</v>
      </c>
      <c r="O3" s="1" t="s">
        <v>21</v>
      </c>
      <c r="P3" s="1">
        <v>0.24506158583375801</v>
      </c>
      <c r="Q3" s="1" t="s">
        <v>26</v>
      </c>
      <c r="V3">
        <v>10</v>
      </c>
      <c r="W3">
        <v>0.269818</v>
      </c>
      <c r="Y3">
        <f>_xlfn.STDEV.S(P2:P6)</f>
        <v>5.3097260317346018E-2</v>
      </c>
    </row>
    <row r="4" spans="1:25" x14ac:dyDescent="0.2">
      <c r="A4">
        <v>1</v>
      </c>
      <c r="B4">
        <v>1</v>
      </c>
      <c r="C4">
        <v>3</v>
      </c>
      <c r="D4" t="s">
        <v>27</v>
      </c>
      <c r="E4" t="s">
        <v>18</v>
      </c>
      <c r="F4">
        <v>0.995</v>
      </c>
      <c r="G4">
        <v>6</v>
      </c>
      <c r="H4">
        <v>10</v>
      </c>
      <c r="I4">
        <v>10</v>
      </c>
      <c r="J4">
        <v>40.75</v>
      </c>
      <c r="K4">
        <v>0.97709999999999997</v>
      </c>
      <c r="L4" s="1" t="s">
        <v>28</v>
      </c>
      <c r="M4" s="1" t="s">
        <v>29</v>
      </c>
      <c r="N4" t="b">
        <v>0</v>
      </c>
      <c r="O4" s="1" t="s">
        <v>21</v>
      </c>
      <c r="P4">
        <v>0.357502821835044</v>
      </c>
      <c r="Q4" s="1" t="s">
        <v>30</v>
      </c>
      <c r="V4">
        <v>25</v>
      </c>
      <c r="W4">
        <v>1.208655</v>
      </c>
      <c r="Y4">
        <f>_xlfn.STDEV.S(P7:P10)</f>
        <v>2.4845227997730694E-2</v>
      </c>
    </row>
    <row r="5" spans="1:25" x14ac:dyDescent="0.2">
      <c r="A5">
        <v>1</v>
      </c>
      <c r="B5">
        <v>1</v>
      </c>
      <c r="C5">
        <v>4</v>
      </c>
      <c r="D5" t="s">
        <v>31</v>
      </c>
      <c r="E5" t="s">
        <v>18</v>
      </c>
      <c r="F5">
        <v>0.995</v>
      </c>
      <c r="G5">
        <v>6</v>
      </c>
      <c r="H5">
        <v>10</v>
      </c>
      <c r="I5">
        <v>10</v>
      </c>
      <c r="J5">
        <v>42.97</v>
      </c>
      <c r="K5">
        <v>0.8508</v>
      </c>
      <c r="L5" s="1" t="s">
        <v>32</v>
      </c>
      <c r="M5" s="1" t="s">
        <v>33</v>
      </c>
      <c r="N5" t="b">
        <v>0</v>
      </c>
      <c r="O5" s="1" t="s">
        <v>21</v>
      </c>
      <c r="P5" s="1">
        <v>0.221720436822094</v>
      </c>
      <c r="Q5" s="1" t="s">
        <v>34</v>
      </c>
      <c r="V5">
        <v>50</v>
      </c>
      <c r="W5">
        <v>2.2208100000000002</v>
      </c>
      <c r="Y5">
        <f>_xlfn.STDEV.S(P11:P15)</f>
        <v>0.1670024751065099</v>
      </c>
    </row>
    <row r="6" spans="1:25" x14ac:dyDescent="0.2">
      <c r="A6">
        <v>1</v>
      </c>
      <c r="B6">
        <v>1</v>
      </c>
      <c r="C6">
        <v>5</v>
      </c>
      <c r="D6" t="s">
        <v>35</v>
      </c>
      <c r="E6" t="s">
        <v>18</v>
      </c>
      <c r="F6">
        <v>0.995</v>
      </c>
      <c r="G6">
        <v>6</v>
      </c>
      <c r="H6">
        <v>10</v>
      </c>
      <c r="I6">
        <v>10</v>
      </c>
      <c r="J6">
        <v>43.52</v>
      </c>
      <c r="K6">
        <v>0.91639999999999999</v>
      </c>
      <c r="L6" s="1" t="s">
        <v>36</v>
      </c>
      <c r="M6">
        <v>0.83977755112059005</v>
      </c>
      <c r="N6" t="b">
        <v>0</v>
      </c>
      <c r="O6" s="1" t="s">
        <v>21</v>
      </c>
      <c r="P6" s="1">
        <v>0.27902074018278999</v>
      </c>
      <c r="Q6">
        <v>0.25697950382262202</v>
      </c>
      <c r="V6">
        <v>100</v>
      </c>
      <c r="W6">
        <v>4.5702829999999999</v>
      </c>
      <c r="Y6">
        <f>_xlfn.STDEV.S(P16:P20)</f>
        <v>0.32099695002788198</v>
      </c>
    </row>
    <row r="7" spans="1:25" x14ac:dyDescent="0.2">
      <c r="A7">
        <v>1</v>
      </c>
      <c r="B7">
        <v>1</v>
      </c>
      <c r="C7">
        <v>6</v>
      </c>
      <c r="D7" t="s">
        <v>37</v>
      </c>
      <c r="E7" t="s">
        <v>18</v>
      </c>
      <c r="F7">
        <v>0.995</v>
      </c>
      <c r="G7">
        <v>6</v>
      </c>
      <c r="H7">
        <v>25</v>
      </c>
      <c r="I7">
        <v>25</v>
      </c>
      <c r="J7">
        <v>41.46</v>
      </c>
      <c r="K7">
        <v>1.6379999999999999</v>
      </c>
      <c r="L7" s="1" t="s">
        <v>38</v>
      </c>
      <c r="M7" s="1" t="s">
        <v>39</v>
      </c>
      <c r="N7" t="b">
        <v>0</v>
      </c>
      <c r="O7" s="1" t="s">
        <v>21</v>
      </c>
      <c r="P7" s="1">
        <v>0.98722684680625905</v>
      </c>
      <c r="Q7" s="1" t="s">
        <v>40</v>
      </c>
      <c r="S7">
        <f>P7+P8+P9+P10+P11</f>
        <v>6.0432772940895392</v>
      </c>
      <c r="T7">
        <f>S7/5</f>
        <v>1.2086554588179079</v>
      </c>
      <c r="V7">
        <v>250</v>
      </c>
      <c r="W7">
        <v>12.18261</v>
      </c>
      <c r="Y7">
        <f>_xlfn.STDEV.S(P21:P25)</f>
        <v>1.112257765062703</v>
      </c>
    </row>
    <row r="8" spans="1:25" x14ac:dyDescent="0.2">
      <c r="A8">
        <v>1</v>
      </c>
      <c r="B8">
        <v>1</v>
      </c>
      <c r="C8">
        <v>7</v>
      </c>
      <c r="D8" t="s">
        <v>41</v>
      </c>
      <c r="E8" t="s">
        <v>18</v>
      </c>
      <c r="F8">
        <v>0.995</v>
      </c>
      <c r="G8">
        <v>6</v>
      </c>
      <c r="H8">
        <v>25</v>
      </c>
      <c r="I8">
        <v>25</v>
      </c>
      <c r="J8">
        <v>40.44</v>
      </c>
      <c r="K8">
        <v>1.649</v>
      </c>
      <c r="L8">
        <v>0.986520760898002</v>
      </c>
      <c r="M8" s="1" t="s">
        <v>42</v>
      </c>
      <c r="N8" t="b">
        <v>0</v>
      </c>
      <c r="O8" s="1" t="s">
        <v>21</v>
      </c>
      <c r="P8" s="1">
        <v>1.02309993754336</v>
      </c>
      <c r="Q8" s="1" t="s">
        <v>43</v>
      </c>
      <c r="V8">
        <v>500</v>
      </c>
      <c r="W8">
        <v>24.145980000000002</v>
      </c>
    </row>
    <row r="9" spans="1:25" x14ac:dyDescent="0.2">
      <c r="A9">
        <v>1</v>
      </c>
      <c r="B9">
        <v>1</v>
      </c>
      <c r="C9">
        <v>10</v>
      </c>
      <c r="D9" t="s">
        <v>44</v>
      </c>
      <c r="E9" t="s">
        <v>18</v>
      </c>
      <c r="F9">
        <v>0.995</v>
      </c>
      <c r="G9">
        <v>6</v>
      </c>
      <c r="H9">
        <v>25</v>
      </c>
      <c r="I9">
        <v>25</v>
      </c>
      <c r="J9">
        <v>39.96</v>
      </c>
      <c r="K9">
        <v>1.651</v>
      </c>
      <c r="L9" s="1" t="s">
        <v>45</v>
      </c>
      <c r="M9" s="1" t="s">
        <v>46</v>
      </c>
      <c r="N9" t="b">
        <v>0</v>
      </c>
      <c r="O9" s="1" t="s">
        <v>21</v>
      </c>
      <c r="P9" s="1">
        <v>1.03744671549863</v>
      </c>
      <c r="Q9" s="1" t="s">
        <v>47</v>
      </c>
      <c r="V9">
        <v>1000</v>
      </c>
      <c r="W9">
        <v>52.419587</v>
      </c>
    </row>
    <row r="10" spans="1:25" x14ac:dyDescent="0.2">
      <c r="A10">
        <v>1</v>
      </c>
      <c r="B10">
        <v>1</v>
      </c>
      <c r="C10">
        <v>11</v>
      </c>
      <c r="D10" t="s">
        <v>48</v>
      </c>
      <c r="E10" t="s">
        <v>18</v>
      </c>
      <c r="F10">
        <v>0.995</v>
      </c>
      <c r="G10">
        <v>6</v>
      </c>
      <c r="H10">
        <v>25</v>
      </c>
      <c r="I10">
        <v>25</v>
      </c>
      <c r="J10">
        <v>41.84</v>
      </c>
      <c r="K10">
        <v>1.7050000000000001</v>
      </c>
      <c r="L10" s="1" t="s">
        <v>49</v>
      </c>
      <c r="M10" s="1" t="s">
        <v>50</v>
      </c>
      <c r="N10" t="b">
        <v>0</v>
      </c>
      <c r="O10" s="1" t="s">
        <v>21</v>
      </c>
      <c r="P10" s="1">
        <v>1.04209338987725</v>
      </c>
      <c r="Q10" s="1" t="s">
        <v>51</v>
      </c>
      <c r="V10">
        <v>2000</v>
      </c>
      <c r="W10">
        <v>97.882050000000007</v>
      </c>
    </row>
    <row r="11" spans="1:25" x14ac:dyDescent="0.2">
      <c r="A11">
        <v>1</v>
      </c>
      <c r="B11">
        <v>1</v>
      </c>
      <c r="C11">
        <v>12</v>
      </c>
      <c r="D11" t="s">
        <v>52</v>
      </c>
      <c r="E11" t="s">
        <v>18</v>
      </c>
      <c r="F11">
        <v>0.995</v>
      </c>
      <c r="G11">
        <v>6</v>
      </c>
      <c r="H11">
        <v>50</v>
      </c>
      <c r="I11">
        <v>50</v>
      </c>
      <c r="J11">
        <v>41.72</v>
      </c>
      <c r="K11">
        <v>2.6549999999999998</v>
      </c>
      <c r="L11">
        <v>0.95611106089905895</v>
      </c>
      <c r="M11" s="1" t="s">
        <v>53</v>
      </c>
      <c r="N11" t="b">
        <v>0</v>
      </c>
      <c r="O11" s="1" t="s">
        <v>21</v>
      </c>
      <c r="P11" s="1">
        <v>1.9534104043640399</v>
      </c>
      <c r="Q11" s="1" t="s">
        <v>54</v>
      </c>
      <c r="V11">
        <v>3000</v>
      </c>
      <c r="W11">
        <v>143.24789999999999</v>
      </c>
    </row>
    <row r="12" spans="1:25" x14ac:dyDescent="0.2">
      <c r="A12">
        <v>1</v>
      </c>
      <c r="B12">
        <v>1</v>
      </c>
      <c r="C12">
        <v>13</v>
      </c>
      <c r="D12" t="s">
        <v>55</v>
      </c>
      <c r="E12" t="s">
        <v>18</v>
      </c>
      <c r="F12">
        <v>0.995</v>
      </c>
      <c r="G12">
        <v>6</v>
      </c>
      <c r="H12">
        <v>50</v>
      </c>
      <c r="I12">
        <v>50</v>
      </c>
      <c r="J12">
        <v>38.5</v>
      </c>
      <c r="K12">
        <v>2.9159999999999999</v>
      </c>
      <c r="L12" s="1" t="s">
        <v>56</v>
      </c>
      <c r="M12" s="1" t="s">
        <v>57</v>
      </c>
      <c r="N12" t="b">
        <v>0</v>
      </c>
      <c r="O12" s="1" t="s">
        <v>21</v>
      </c>
      <c r="P12" s="1">
        <v>2.3881430985196301</v>
      </c>
      <c r="Q12" s="1" t="s">
        <v>58</v>
      </c>
      <c r="S12">
        <f>P12+P13+P14+P15</f>
        <v>8.8832382984394389</v>
      </c>
      <c r="T12">
        <f>S12/4</f>
        <v>2.2208095746098597</v>
      </c>
      <c r="V12">
        <v>5000</v>
      </c>
      <c r="W12">
        <v>249.28460000000001</v>
      </c>
    </row>
    <row r="13" spans="1:25" x14ac:dyDescent="0.2">
      <c r="A13">
        <v>1</v>
      </c>
      <c r="B13">
        <v>1</v>
      </c>
      <c r="C13">
        <v>14</v>
      </c>
      <c r="D13" t="s">
        <v>59</v>
      </c>
      <c r="E13" t="s">
        <v>18</v>
      </c>
      <c r="F13">
        <v>0.995</v>
      </c>
      <c r="G13">
        <v>6</v>
      </c>
      <c r="H13">
        <v>50</v>
      </c>
      <c r="I13">
        <v>50</v>
      </c>
      <c r="J13">
        <v>41.85</v>
      </c>
      <c r="K13">
        <v>2.8969999999999998</v>
      </c>
      <c r="L13" s="1" t="s">
        <v>60</v>
      </c>
      <c r="M13" s="1" t="s">
        <v>61</v>
      </c>
      <c r="N13" t="b">
        <v>0</v>
      </c>
      <c r="O13" s="1" t="s">
        <v>21</v>
      </c>
      <c r="P13">
        <v>2.1779707420763499</v>
      </c>
      <c r="Q13" s="1" t="s">
        <v>62</v>
      </c>
    </row>
    <row r="14" spans="1:25" x14ac:dyDescent="0.2">
      <c r="A14">
        <v>1</v>
      </c>
      <c r="B14">
        <v>1</v>
      </c>
      <c r="C14">
        <v>15</v>
      </c>
      <c r="D14" t="s">
        <v>63</v>
      </c>
      <c r="E14" t="s">
        <v>18</v>
      </c>
      <c r="F14">
        <v>0.995</v>
      </c>
      <c r="G14">
        <v>6</v>
      </c>
      <c r="H14">
        <v>50</v>
      </c>
      <c r="I14">
        <v>50</v>
      </c>
      <c r="J14">
        <v>40.61</v>
      </c>
      <c r="K14">
        <v>2.7160000000000002</v>
      </c>
      <c r="L14" s="1" t="s">
        <v>64</v>
      </c>
      <c r="M14" s="1" t="s">
        <v>65</v>
      </c>
      <c r="N14" t="b">
        <v>0</v>
      </c>
      <c r="O14" s="1" t="s">
        <v>21</v>
      </c>
      <c r="P14" s="1">
        <v>2.06698626078339</v>
      </c>
      <c r="Q14" s="1" t="s">
        <v>66</v>
      </c>
    </row>
    <row r="15" spans="1:25" x14ac:dyDescent="0.2">
      <c r="A15">
        <v>1</v>
      </c>
      <c r="B15">
        <v>1</v>
      </c>
      <c r="C15">
        <v>16</v>
      </c>
      <c r="D15" t="s">
        <v>67</v>
      </c>
      <c r="E15" t="s">
        <v>18</v>
      </c>
      <c r="F15">
        <v>0.995</v>
      </c>
      <c r="G15">
        <v>6</v>
      </c>
      <c r="H15">
        <v>50</v>
      </c>
      <c r="I15">
        <v>50</v>
      </c>
      <c r="J15">
        <v>40.020000000000003</v>
      </c>
      <c r="K15">
        <v>2.8690000000000002</v>
      </c>
      <c r="L15" s="1" t="s">
        <v>68</v>
      </c>
      <c r="M15" s="1" t="s">
        <v>69</v>
      </c>
      <c r="N15" t="b">
        <v>0</v>
      </c>
      <c r="O15" s="1" t="s">
        <v>21</v>
      </c>
      <c r="P15" s="1">
        <v>2.2501381970600698</v>
      </c>
      <c r="Q15" s="1" t="s">
        <v>70</v>
      </c>
    </row>
    <row r="16" spans="1:25" x14ac:dyDescent="0.2">
      <c r="A16">
        <v>1</v>
      </c>
      <c r="B16">
        <v>1</v>
      </c>
      <c r="C16">
        <v>17</v>
      </c>
      <c r="D16" t="s">
        <v>71</v>
      </c>
      <c r="E16" t="s">
        <v>18</v>
      </c>
      <c r="F16">
        <v>0.995</v>
      </c>
      <c r="G16">
        <v>6</v>
      </c>
      <c r="H16">
        <v>100</v>
      </c>
      <c r="I16">
        <v>100</v>
      </c>
      <c r="J16">
        <v>41.43</v>
      </c>
      <c r="K16">
        <v>5.3120000000000003</v>
      </c>
      <c r="L16" s="1" t="s">
        <v>72</v>
      </c>
      <c r="M16" s="1" t="s">
        <v>73</v>
      </c>
      <c r="N16" t="b">
        <v>0</v>
      </c>
      <c r="O16" s="1" t="s">
        <v>21</v>
      </c>
      <c r="P16" s="1">
        <v>4.5254021525359596</v>
      </c>
      <c r="Q16" s="1" t="s">
        <v>74</v>
      </c>
      <c r="S16">
        <f>P16+P17+P18+P19+P20</f>
        <v>22.851416508091262</v>
      </c>
      <c r="T16">
        <f>S16/5</f>
        <v>4.570283301618252</v>
      </c>
    </row>
    <row r="17" spans="1:24" x14ac:dyDescent="0.2">
      <c r="A17">
        <v>1</v>
      </c>
      <c r="B17">
        <v>1</v>
      </c>
      <c r="C17">
        <v>18</v>
      </c>
      <c r="D17" t="s">
        <v>75</v>
      </c>
      <c r="E17" t="s">
        <v>18</v>
      </c>
      <c r="F17">
        <v>0.995</v>
      </c>
      <c r="G17">
        <v>6</v>
      </c>
      <c r="H17">
        <v>100</v>
      </c>
      <c r="I17">
        <v>100</v>
      </c>
      <c r="J17">
        <v>41.58</v>
      </c>
      <c r="K17">
        <v>5.774</v>
      </c>
      <c r="L17">
        <v>0.95934550027468302</v>
      </c>
      <c r="M17" s="1" t="s">
        <v>76</v>
      </c>
      <c r="N17" t="b">
        <v>0</v>
      </c>
      <c r="O17" s="1" t="s">
        <v>21</v>
      </c>
      <c r="P17" s="1">
        <v>4.9522172347985096</v>
      </c>
      <c r="Q17" s="1" t="s">
        <v>77</v>
      </c>
      <c r="V17" t="s">
        <v>1436</v>
      </c>
      <c r="W17" t="s">
        <v>1435</v>
      </c>
    </row>
    <row r="18" spans="1:24" x14ac:dyDescent="0.2">
      <c r="A18">
        <v>1</v>
      </c>
      <c r="B18">
        <v>1</v>
      </c>
      <c r="C18">
        <v>19</v>
      </c>
      <c r="D18" t="s">
        <v>78</v>
      </c>
      <c r="E18" t="s">
        <v>18</v>
      </c>
      <c r="F18">
        <v>0.995</v>
      </c>
      <c r="G18">
        <v>6</v>
      </c>
      <c r="H18">
        <v>100</v>
      </c>
      <c r="I18">
        <v>100</v>
      </c>
      <c r="J18">
        <v>39.89</v>
      </c>
      <c r="K18">
        <v>5.3040000000000003</v>
      </c>
      <c r="L18" s="1" t="s">
        <v>79</v>
      </c>
      <c r="M18" s="1" t="s">
        <v>80</v>
      </c>
      <c r="N18" t="b">
        <v>0</v>
      </c>
      <c r="O18" s="1" t="s">
        <v>21</v>
      </c>
      <c r="P18">
        <v>4.6929696715994602</v>
      </c>
      <c r="Q18" s="1" t="s">
        <v>81</v>
      </c>
      <c r="V18">
        <v>3.8711000000000002E-2</v>
      </c>
      <c r="W18">
        <v>0</v>
      </c>
      <c r="X18">
        <f>_xlfn.STDEV.S(P50:P54)</f>
        <v>3.6743591513048235E-2</v>
      </c>
    </row>
    <row r="19" spans="1:24" x14ac:dyDescent="0.2">
      <c r="A19">
        <v>1</v>
      </c>
      <c r="B19">
        <v>1</v>
      </c>
      <c r="C19">
        <v>20</v>
      </c>
      <c r="D19" t="s">
        <v>82</v>
      </c>
      <c r="E19" t="s">
        <v>18</v>
      </c>
      <c r="F19">
        <v>0.995</v>
      </c>
      <c r="G19">
        <v>6</v>
      </c>
      <c r="H19">
        <v>100</v>
      </c>
      <c r="I19">
        <v>100</v>
      </c>
      <c r="J19">
        <v>41.05</v>
      </c>
      <c r="K19">
        <v>5.3540000000000001</v>
      </c>
      <c r="L19" s="1" t="s">
        <v>83</v>
      </c>
      <c r="M19" s="1" t="s">
        <v>84</v>
      </c>
      <c r="N19" t="b">
        <v>0</v>
      </c>
      <c r="O19" s="1" t="s">
        <v>21</v>
      </c>
      <c r="P19" s="1">
        <v>4.6083095350866303</v>
      </c>
      <c r="Q19" s="1" t="s">
        <v>85</v>
      </c>
      <c r="V19">
        <v>0.269818</v>
      </c>
      <c r="W19">
        <v>10</v>
      </c>
      <c r="X19">
        <v>5.30973E-2</v>
      </c>
    </row>
    <row r="20" spans="1:24" x14ac:dyDescent="0.2">
      <c r="A20">
        <v>1</v>
      </c>
      <c r="B20">
        <v>1</v>
      </c>
      <c r="C20">
        <v>21</v>
      </c>
      <c r="D20" t="s">
        <v>86</v>
      </c>
      <c r="E20" t="s">
        <v>18</v>
      </c>
      <c r="F20">
        <v>0.995</v>
      </c>
      <c r="G20">
        <v>6</v>
      </c>
      <c r="H20">
        <v>100</v>
      </c>
      <c r="I20">
        <v>100</v>
      </c>
      <c r="J20">
        <v>45.84</v>
      </c>
      <c r="K20">
        <v>5.2939999999999996</v>
      </c>
      <c r="L20" s="1" t="s">
        <v>87</v>
      </c>
      <c r="M20" s="1" t="s">
        <v>88</v>
      </c>
      <c r="N20" t="b">
        <v>0</v>
      </c>
      <c r="O20" s="1" t="s">
        <v>21</v>
      </c>
      <c r="P20" s="1">
        <v>4.0725179140707004</v>
      </c>
      <c r="Q20" s="1" t="s">
        <v>89</v>
      </c>
      <c r="V20">
        <v>1.208655</v>
      </c>
      <c r="W20">
        <v>25</v>
      </c>
      <c r="X20">
        <v>2.4845200000000001E-2</v>
      </c>
    </row>
    <row r="21" spans="1:24" x14ac:dyDescent="0.2">
      <c r="A21">
        <v>1</v>
      </c>
      <c r="B21">
        <v>1</v>
      </c>
      <c r="C21">
        <v>22</v>
      </c>
      <c r="D21" t="s">
        <v>90</v>
      </c>
      <c r="E21" t="s">
        <v>18</v>
      </c>
      <c r="F21">
        <v>0.995</v>
      </c>
      <c r="G21">
        <v>6</v>
      </c>
      <c r="H21">
        <v>250</v>
      </c>
      <c r="I21">
        <v>250</v>
      </c>
      <c r="J21">
        <v>40.15</v>
      </c>
      <c r="K21">
        <v>12.38</v>
      </c>
      <c r="L21" s="1" t="s">
        <v>91</v>
      </c>
      <c r="M21" s="1" t="s">
        <v>92</v>
      </c>
      <c r="N21" t="b">
        <v>0</v>
      </c>
      <c r="O21" s="1" t="s">
        <v>21</v>
      </c>
      <c r="P21" s="1">
        <v>11.693718686903001</v>
      </c>
      <c r="Q21" s="1" t="s">
        <v>93</v>
      </c>
      <c r="S21">
        <f>P21+P22+P23+P24+P25</f>
        <v>60.913055632611702</v>
      </c>
      <c r="T21">
        <f>S21/5</f>
        <v>12.182611126522341</v>
      </c>
      <c r="V21">
        <v>2.2208100000000002</v>
      </c>
      <c r="W21">
        <v>50</v>
      </c>
      <c r="X21">
        <v>0.1670025</v>
      </c>
    </row>
    <row r="22" spans="1:24" x14ac:dyDescent="0.2">
      <c r="A22">
        <v>1</v>
      </c>
      <c r="B22">
        <v>1</v>
      </c>
      <c r="C22">
        <v>23</v>
      </c>
      <c r="D22" t="s">
        <v>94</v>
      </c>
      <c r="E22" t="s">
        <v>18</v>
      </c>
      <c r="F22">
        <v>0.995</v>
      </c>
      <c r="G22">
        <v>6</v>
      </c>
      <c r="H22">
        <v>250</v>
      </c>
      <c r="I22">
        <v>250</v>
      </c>
      <c r="J22">
        <v>39.119999999999997</v>
      </c>
      <c r="K22">
        <v>12.28</v>
      </c>
      <c r="L22" s="1" t="s">
        <v>95</v>
      </c>
      <c r="M22" s="1" t="s">
        <v>96</v>
      </c>
      <c r="N22" t="b">
        <v>0</v>
      </c>
      <c r="O22" s="1" t="s">
        <v>21</v>
      </c>
      <c r="P22" s="1">
        <v>11.901154542835499</v>
      </c>
      <c r="Q22" s="1" t="s">
        <v>97</v>
      </c>
      <c r="V22">
        <v>4.5702829999999999</v>
      </c>
      <c r="W22">
        <v>100</v>
      </c>
      <c r="X22">
        <v>0.32099699999999998</v>
      </c>
    </row>
    <row r="23" spans="1:24" x14ac:dyDescent="0.2">
      <c r="A23">
        <v>1</v>
      </c>
      <c r="B23">
        <v>1</v>
      </c>
      <c r="C23">
        <v>24</v>
      </c>
      <c r="D23" t="s">
        <v>98</v>
      </c>
      <c r="E23" t="s">
        <v>18</v>
      </c>
      <c r="F23">
        <v>0.995</v>
      </c>
      <c r="G23">
        <v>6</v>
      </c>
      <c r="H23">
        <v>250</v>
      </c>
      <c r="I23">
        <v>250</v>
      </c>
      <c r="J23">
        <v>42.14</v>
      </c>
      <c r="K23">
        <v>15.57</v>
      </c>
      <c r="L23" s="1" t="s">
        <v>99</v>
      </c>
      <c r="M23" s="1" t="s">
        <v>100</v>
      </c>
      <c r="N23" t="b">
        <v>0</v>
      </c>
      <c r="O23" s="1" t="s">
        <v>21</v>
      </c>
      <c r="P23" s="1">
        <v>14.158379559223199</v>
      </c>
      <c r="Q23" s="1" t="s">
        <v>101</v>
      </c>
      <c r="V23">
        <v>12.18261</v>
      </c>
      <c r="W23">
        <v>250</v>
      </c>
      <c r="X23">
        <v>1.1122578000000001</v>
      </c>
    </row>
    <row r="24" spans="1:24" x14ac:dyDescent="0.2">
      <c r="A24">
        <v>1</v>
      </c>
      <c r="B24">
        <v>1</v>
      </c>
      <c r="C24">
        <v>25</v>
      </c>
      <c r="D24" t="s">
        <v>102</v>
      </c>
      <c r="E24" t="s">
        <v>18</v>
      </c>
      <c r="F24">
        <v>0.995</v>
      </c>
      <c r="G24">
        <v>6</v>
      </c>
      <c r="H24">
        <v>250</v>
      </c>
      <c r="I24">
        <v>250</v>
      </c>
      <c r="J24">
        <v>40.869999999999997</v>
      </c>
      <c r="K24">
        <v>12.47</v>
      </c>
      <c r="L24" s="1" t="s">
        <v>103</v>
      </c>
      <c r="M24" s="1" t="s">
        <v>104</v>
      </c>
      <c r="N24" t="b">
        <v>0</v>
      </c>
      <c r="O24" s="1" t="s">
        <v>21</v>
      </c>
      <c r="P24" s="1">
        <v>11.5745702952284</v>
      </c>
      <c r="Q24" s="1" t="s">
        <v>105</v>
      </c>
      <c r="V24">
        <v>24.145980000000002</v>
      </c>
      <c r="W24">
        <v>500</v>
      </c>
      <c r="X24">
        <f>_xlfn.STDEV.S(P26:P30)</f>
        <v>1.2527808875692221</v>
      </c>
    </row>
    <row r="25" spans="1:24" x14ac:dyDescent="0.2">
      <c r="A25">
        <v>1</v>
      </c>
      <c r="B25">
        <v>1</v>
      </c>
      <c r="C25">
        <v>26</v>
      </c>
      <c r="D25" t="s">
        <v>106</v>
      </c>
      <c r="E25" t="s">
        <v>18</v>
      </c>
      <c r="F25">
        <v>0.995</v>
      </c>
      <c r="G25">
        <v>6</v>
      </c>
      <c r="H25">
        <v>250</v>
      </c>
      <c r="I25">
        <v>250</v>
      </c>
      <c r="J25">
        <v>37.200000000000003</v>
      </c>
      <c r="K25">
        <v>11.41</v>
      </c>
      <c r="L25" s="1" t="s">
        <v>107</v>
      </c>
      <c r="M25" s="1" t="s">
        <v>108</v>
      </c>
      <c r="N25" t="b">
        <v>0</v>
      </c>
      <c r="O25" s="1" t="s">
        <v>21</v>
      </c>
      <c r="P25" s="1">
        <v>11.585232548421599</v>
      </c>
      <c r="Q25" s="1" t="s">
        <v>109</v>
      </c>
      <c r="V25">
        <v>52.419587</v>
      </c>
      <c r="W25">
        <v>1000</v>
      </c>
      <c r="X25">
        <f>_xlfn.STDEV.S(P31:P35)</f>
        <v>4.3784858474458872</v>
      </c>
    </row>
    <row r="26" spans="1:24" x14ac:dyDescent="0.2">
      <c r="A26">
        <v>1</v>
      </c>
      <c r="B26">
        <v>1</v>
      </c>
      <c r="C26">
        <v>27</v>
      </c>
      <c r="D26" t="s">
        <v>110</v>
      </c>
      <c r="E26" t="s">
        <v>18</v>
      </c>
      <c r="F26">
        <v>0.995</v>
      </c>
      <c r="G26">
        <v>6</v>
      </c>
      <c r="H26">
        <v>500</v>
      </c>
      <c r="I26">
        <v>500</v>
      </c>
      <c r="J26">
        <v>40.130000000000003</v>
      </c>
      <c r="K26">
        <v>26.01</v>
      </c>
      <c r="L26" s="1" t="s">
        <v>111</v>
      </c>
      <c r="M26" s="1" t="s">
        <v>112</v>
      </c>
      <c r="N26" t="b">
        <v>0</v>
      </c>
      <c r="O26" s="1" t="s">
        <v>21</v>
      </c>
      <c r="P26" s="1">
        <v>25.250232775067001</v>
      </c>
      <c r="Q26" s="1" t="s">
        <v>113</v>
      </c>
      <c r="S26">
        <f>P26+P27+P28+P29+P30</f>
        <v>120.7299140823535</v>
      </c>
      <c r="T26">
        <f>S26/5</f>
        <v>24.145982816470699</v>
      </c>
      <c r="V26">
        <v>97.882050000000007</v>
      </c>
      <c r="W26">
        <v>2000</v>
      </c>
      <c r="X26">
        <f>_xlfn.STDEV.S(P36:P40)</f>
        <v>8.0583674880345519</v>
      </c>
    </row>
    <row r="27" spans="1:24" x14ac:dyDescent="0.2">
      <c r="A27">
        <v>1</v>
      </c>
      <c r="B27">
        <v>1</v>
      </c>
      <c r="C27">
        <v>28</v>
      </c>
      <c r="D27" t="s">
        <v>114</v>
      </c>
      <c r="E27" t="s">
        <v>18</v>
      </c>
      <c r="F27">
        <v>0.995</v>
      </c>
      <c r="G27">
        <v>6</v>
      </c>
      <c r="H27">
        <v>500</v>
      </c>
      <c r="I27">
        <v>500</v>
      </c>
      <c r="J27">
        <v>41.65</v>
      </c>
      <c r="K27">
        <v>27.17</v>
      </c>
      <c r="L27" s="1" t="s">
        <v>115</v>
      </c>
      <c r="M27" s="1" t="s">
        <v>116</v>
      </c>
      <c r="N27" t="b">
        <v>0</v>
      </c>
      <c r="O27" s="1" t="s">
        <v>21</v>
      </c>
      <c r="P27" s="1">
        <v>25.435350784713801</v>
      </c>
      <c r="Q27" s="1" t="s">
        <v>117</v>
      </c>
      <c r="V27">
        <v>143.24789999999999</v>
      </c>
      <c r="W27">
        <v>3000</v>
      </c>
      <c r="X27">
        <f>_xlfn.STDEV.S(P41:P45)</f>
        <v>4.3510815978940895</v>
      </c>
    </row>
    <row r="28" spans="1:24" x14ac:dyDescent="0.2">
      <c r="A28">
        <v>1</v>
      </c>
      <c r="B28">
        <v>1</v>
      </c>
      <c r="C28">
        <v>29</v>
      </c>
      <c r="D28" t="s">
        <v>118</v>
      </c>
      <c r="E28" t="s">
        <v>18</v>
      </c>
      <c r="F28">
        <v>0.995</v>
      </c>
      <c r="G28">
        <v>6</v>
      </c>
      <c r="H28">
        <v>500</v>
      </c>
      <c r="I28">
        <v>500</v>
      </c>
      <c r="J28">
        <v>38.72</v>
      </c>
      <c r="K28">
        <v>24.03</v>
      </c>
      <c r="L28" s="1" t="s">
        <v>119</v>
      </c>
      <c r="M28" s="1" t="s">
        <v>120</v>
      </c>
      <c r="N28" t="b">
        <v>0</v>
      </c>
      <c r="O28" s="1" t="s">
        <v>21</v>
      </c>
      <c r="P28" s="1">
        <v>24.1338737641147</v>
      </c>
      <c r="Q28" s="1" t="s">
        <v>121</v>
      </c>
      <c r="V28">
        <v>249.28460000000001</v>
      </c>
      <c r="W28">
        <v>5000</v>
      </c>
      <c r="X28">
        <f>_xlfn.STDEV.S(P46:P49)</f>
        <v>12.823779168160412</v>
      </c>
    </row>
    <row r="29" spans="1:24" x14ac:dyDescent="0.2">
      <c r="A29">
        <v>1</v>
      </c>
      <c r="B29">
        <v>1</v>
      </c>
      <c r="C29">
        <v>30</v>
      </c>
      <c r="D29" t="s">
        <v>122</v>
      </c>
      <c r="E29" t="s">
        <v>18</v>
      </c>
      <c r="F29">
        <v>0.995</v>
      </c>
      <c r="G29">
        <v>6</v>
      </c>
      <c r="H29">
        <v>500</v>
      </c>
      <c r="I29">
        <v>500</v>
      </c>
      <c r="J29">
        <v>41.76</v>
      </c>
      <c r="K29">
        <v>24.09</v>
      </c>
      <c r="L29" s="1" t="s">
        <v>123</v>
      </c>
      <c r="M29" s="1" t="s">
        <v>124</v>
      </c>
      <c r="N29" t="b">
        <v>0</v>
      </c>
      <c r="O29" s="1" t="s">
        <v>21</v>
      </c>
      <c r="P29" s="1">
        <v>22.426048262599</v>
      </c>
      <c r="Q29" s="1" t="s">
        <v>125</v>
      </c>
    </row>
    <row r="30" spans="1:24" x14ac:dyDescent="0.2">
      <c r="A30">
        <v>1</v>
      </c>
      <c r="B30">
        <v>1</v>
      </c>
      <c r="C30">
        <v>31</v>
      </c>
      <c r="D30" t="s">
        <v>126</v>
      </c>
      <c r="E30" t="s">
        <v>18</v>
      </c>
      <c r="F30">
        <v>0.995</v>
      </c>
      <c r="G30">
        <v>6</v>
      </c>
      <c r="H30">
        <v>500</v>
      </c>
      <c r="I30">
        <v>500</v>
      </c>
      <c r="J30">
        <v>36.81</v>
      </c>
      <c r="K30">
        <v>22.27</v>
      </c>
      <c r="L30" s="1" t="s">
        <v>127</v>
      </c>
      <c r="M30" s="1" t="s">
        <v>128</v>
      </c>
      <c r="N30" t="b">
        <v>0</v>
      </c>
      <c r="O30" s="1" t="s">
        <v>21</v>
      </c>
      <c r="P30" s="1">
        <v>23.484408495859</v>
      </c>
      <c r="Q30" s="1" t="s">
        <v>129</v>
      </c>
    </row>
    <row r="31" spans="1:24" x14ac:dyDescent="0.2">
      <c r="A31">
        <v>1</v>
      </c>
      <c r="B31">
        <v>1</v>
      </c>
      <c r="C31">
        <v>32</v>
      </c>
      <c r="D31" t="s">
        <v>130</v>
      </c>
      <c r="E31" t="s">
        <v>18</v>
      </c>
      <c r="F31">
        <v>0.995</v>
      </c>
      <c r="G31">
        <v>6</v>
      </c>
      <c r="H31">
        <v>1000</v>
      </c>
      <c r="I31">
        <v>1000</v>
      </c>
      <c r="J31">
        <v>39.36</v>
      </c>
      <c r="K31">
        <v>58</v>
      </c>
      <c r="L31" s="1" t="s">
        <v>131</v>
      </c>
      <c r="M31" s="1" t="s">
        <v>132</v>
      </c>
      <c r="N31" t="b">
        <v>0</v>
      </c>
      <c r="O31" s="1" t="s">
        <v>21</v>
      </c>
      <c r="P31" s="1">
        <v>58.175734615474703</v>
      </c>
      <c r="Q31" s="1" t="s">
        <v>133</v>
      </c>
      <c r="S31">
        <f>P31+P32+P33+P34+P35</f>
        <v>262.09793684864081</v>
      </c>
      <c r="T31">
        <f>S31/5</f>
        <v>52.419587369728163</v>
      </c>
    </row>
    <row r="32" spans="1:24" x14ac:dyDescent="0.2">
      <c r="A32">
        <v>1</v>
      </c>
      <c r="B32">
        <v>1</v>
      </c>
      <c r="C32">
        <v>33</v>
      </c>
      <c r="D32" t="s">
        <v>134</v>
      </c>
      <c r="E32" t="s">
        <v>18</v>
      </c>
      <c r="F32">
        <v>0.995</v>
      </c>
      <c r="G32">
        <v>6</v>
      </c>
      <c r="H32">
        <v>1000</v>
      </c>
      <c r="I32">
        <v>1000</v>
      </c>
      <c r="J32">
        <v>39.9</v>
      </c>
      <c r="K32">
        <v>47.82</v>
      </c>
      <c r="L32" s="1" t="s">
        <v>135</v>
      </c>
      <c r="M32" s="1" t="s">
        <v>136</v>
      </c>
      <c r="N32" t="b">
        <v>0</v>
      </c>
      <c r="O32" s="1" t="s">
        <v>21</v>
      </c>
      <c r="P32" s="1">
        <v>47.205148372204199</v>
      </c>
      <c r="Q32" s="1" t="s">
        <v>137</v>
      </c>
    </row>
    <row r="33" spans="1:20" x14ac:dyDescent="0.2">
      <c r="A33">
        <v>1</v>
      </c>
      <c r="B33">
        <v>1</v>
      </c>
      <c r="C33">
        <v>34</v>
      </c>
      <c r="D33" t="s">
        <v>138</v>
      </c>
      <c r="E33" t="s">
        <v>18</v>
      </c>
      <c r="F33">
        <v>0.995</v>
      </c>
      <c r="G33">
        <v>6</v>
      </c>
      <c r="H33">
        <v>1000</v>
      </c>
      <c r="I33">
        <v>1000</v>
      </c>
      <c r="J33">
        <v>40.4</v>
      </c>
      <c r="K33">
        <v>50.18</v>
      </c>
      <c r="L33" s="1" t="s">
        <v>139</v>
      </c>
      <c r="M33" s="1" t="s">
        <v>140</v>
      </c>
      <c r="N33" t="b">
        <v>0</v>
      </c>
      <c r="O33" s="1" t="s">
        <v>21</v>
      </c>
      <c r="P33" s="1">
        <v>48.948590234695999</v>
      </c>
      <c r="Q33" s="1" t="s">
        <v>141</v>
      </c>
    </row>
    <row r="34" spans="1:20" x14ac:dyDescent="0.2">
      <c r="A34">
        <v>1</v>
      </c>
      <c r="B34">
        <v>1</v>
      </c>
      <c r="C34">
        <v>35</v>
      </c>
      <c r="D34" t="s">
        <v>142</v>
      </c>
      <c r="E34" t="s">
        <v>18</v>
      </c>
      <c r="F34">
        <v>0.995</v>
      </c>
      <c r="G34">
        <v>6</v>
      </c>
      <c r="H34">
        <v>1000</v>
      </c>
      <c r="I34">
        <v>1000</v>
      </c>
      <c r="J34">
        <v>39.61</v>
      </c>
      <c r="K34">
        <v>54</v>
      </c>
      <c r="L34" s="1" t="s">
        <v>143</v>
      </c>
      <c r="M34" s="1" t="s">
        <v>144</v>
      </c>
      <c r="N34" t="b">
        <v>0</v>
      </c>
      <c r="O34" s="1" t="s">
        <v>21</v>
      </c>
      <c r="P34" s="1">
        <v>53.777554053203801</v>
      </c>
      <c r="Q34">
        <v>2918.5808229879499</v>
      </c>
    </row>
    <row r="35" spans="1:20" x14ac:dyDescent="0.2">
      <c r="A35">
        <v>1</v>
      </c>
      <c r="B35">
        <v>1</v>
      </c>
      <c r="C35">
        <v>36</v>
      </c>
      <c r="D35" t="s">
        <v>145</v>
      </c>
      <c r="E35" t="s">
        <v>18</v>
      </c>
      <c r="F35">
        <v>0.995</v>
      </c>
      <c r="G35">
        <v>6</v>
      </c>
      <c r="H35">
        <v>1000</v>
      </c>
      <c r="I35">
        <v>1000</v>
      </c>
      <c r="J35">
        <v>41.8</v>
      </c>
      <c r="K35">
        <v>57.19</v>
      </c>
      <c r="L35" s="1" t="s">
        <v>146</v>
      </c>
      <c r="M35" s="1" t="s">
        <v>147</v>
      </c>
      <c r="N35" t="b">
        <v>0</v>
      </c>
      <c r="O35" s="1" t="s">
        <v>21</v>
      </c>
      <c r="P35" s="1">
        <v>53.990909573062098</v>
      </c>
      <c r="Q35" s="1" t="s">
        <v>148</v>
      </c>
    </row>
    <row r="36" spans="1:20" x14ac:dyDescent="0.2">
      <c r="A36">
        <v>1</v>
      </c>
      <c r="B36">
        <v>1</v>
      </c>
      <c r="C36">
        <v>37</v>
      </c>
      <c r="D36" t="s">
        <v>149</v>
      </c>
      <c r="E36" t="s">
        <v>18</v>
      </c>
      <c r="F36">
        <v>0.995</v>
      </c>
      <c r="G36">
        <v>6</v>
      </c>
      <c r="H36">
        <v>2000</v>
      </c>
      <c r="I36">
        <v>2000</v>
      </c>
      <c r="J36">
        <v>42.97</v>
      </c>
      <c r="K36">
        <v>98.19</v>
      </c>
      <c r="L36" s="1" t="s">
        <v>32</v>
      </c>
      <c r="M36" s="1" t="s">
        <v>150</v>
      </c>
      <c r="N36" t="b">
        <v>0</v>
      </c>
      <c r="O36" s="1" t="s">
        <v>21</v>
      </c>
      <c r="P36" s="1">
        <v>90.569102937518394</v>
      </c>
      <c r="Q36">
        <v>8937.6685602361194</v>
      </c>
      <c r="S36">
        <f>P36+P37+P38+P39+P40</f>
        <v>489.41025079960161</v>
      </c>
      <c r="T36">
        <f>S36/5</f>
        <v>97.882050159920325</v>
      </c>
    </row>
    <row r="37" spans="1:20" x14ac:dyDescent="0.2">
      <c r="A37">
        <v>1</v>
      </c>
      <c r="B37">
        <v>1</v>
      </c>
      <c r="C37">
        <v>38</v>
      </c>
      <c r="D37" t="s">
        <v>151</v>
      </c>
      <c r="E37" t="s">
        <v>18</v>
      </c>
      <c r="F37">
        <v>0.995</v>
      </c>
      <c r="G37">
        <v>6</v>
      </c>
      <c r="H37">
        <v>2000</v>
      </c>
      <c r="I37">
        <v>2000</v>
      </c>
      <c r="J37">
        <v>39.770000000000003</v>
      </c>
      <c r="K37">
        <v>94.01</v>
      </c>
      <c r="L37" s="1" t="s">
        <v>152</v>
      </c>
      <c r="M37">
        <v>94.3129626479178</v>
      </c>
      <c r="N37" t="b">
        <v>0</v>
      </c>
      <c r="O37" s="1" t="s">
        <v>21</v>
      </c>
      <c r="P37" s="1">
        <v>93.699069605006699</v>
      </c>
      <c r="Q37" s="1" t="s">
        <v>153</v>
      </c>
    </row>
    <row r="38" spans="1:20" x14ac:dyDescent="0.2">
      <c r="A38">
        <v>1</v>
      </c>
      <c r="B38">
        <v>1</v>
      </c>
      <c r="C38">
        <v>39</v>
      </c>
      <c r="D38" t="s">
        <v>154</v>
      </c>
      <c r="E38" t="s">
        <v>18</v>
      </c>
      <c r="F38">
        <v>0.995</v>
      </c>
      <c r="G38">
        <v>6</v>
      </c>
      <c r="H38">
        <v>2000</v>
      </c>
      <c r="I38">
        <v>2000</v>
      </c>
      <c r="J38">
        <v>39.56</v>
      </c>
      <c r="K38">
        <v>111.2</v>
      </c>
      <c r="L38" s="1" t="s">
        <v>155</v>
      </c>
      <c r="M38" s="1" t="s">
        <v>156</v>
      </c>
      <c r="N38" t="b">
        <v>0</v>
      </c>
      <c r="O38" s="1" t="s">
        <v>21</v>
      </c>
      <c r="P38" s="1">
        <v>111.536329356154</v>
      </c>
      <c r="Q38" s="1" t="s">
        <v>157</v>
      </c>
    </row>
    <row r="39" spans="1:20" x14ac:dyDescent="0.2">
      <c r="A39">
        <v>1</v>
      </c>
      <c r="B39">
        <v>1</v>
      </c>
      <c r="C39">
        <v>40</v>
      </c>
      <c r="D39" t="s">
        <v>158</v>
      </c>
      <c r="E39" t="s">
        <v>18</v>
      </c>
      <c r="F39">
        <v>0.995</v>
      </c>
      <c r="G39">
        <v>6</v>
      </c>
      <c r="H39">
        <v>2000</v>
      </c>
      <c r="I39">
        <v>2000</v>
      </c>
      <c r="J39">
        <v>38.880000000000003</v>
      </c>
      <c r="K39">
        <v>94.89</v>
      </c>
      <c r="L39" s="1" t="s">
        <v>159</v>
      </c>
      <c r="M39" s="1" t="s">
        <v>160</v>
      </c>
      <c r="N39" t="b">
        <v>0</v>
      </c>
      <c r="O39" s="1" t="s">
        <v>21</v>
      </c>
      <c r="P39" s="1">
        <v>96.757918383268404</v>
      </c>
      <c r="Q39" s="1" t="s">
        <v>161</v>
      </c>
    </row>
    <row r="40" spans="1:20" x14ac:dyDescent="0.2">
      <c r="A40">
        <v>1</v>
      </c>
      <c r="B40">
        <v>1</v>
      </c>
      <c r="C40">
        <v>41</v>
      </c>
      <c r="D40" t="s">
        <v>162</v>
      </c>
      <c r="E40" t="s">
        <v>18</v>
      </c>
      <c r="F40">
        <v>0.995</v>
      </c>
      <c r="G40">
        <v>6</v>
      </c>
      <c r="H40">
        <v>2000</v>
      </c>
      <c r="I40">
        <v>2000</v>
      </c>
      <c r="J40">
        <v>40.159999999999997</v>
      </c>
      <c r="K40">
        <v>98.1</v>
      </c>
      <c r="L40" s="1" t="s">
        <v>163</v>
      </c>
      <c r="M40" s="1" t="s">
        <v>164</v>
      </c>
      <c r="N40" t="b">
        <v>0</v>
      </c>
      <c r="O40" s="1" t="s">
        <v>21</v>
      </c>
      <c r="P40" s="1">
        <v>96.847830517654103</v>
      </c>
      <c r="Q40" s="1" t="s">
        <v>165</v>
      </c>
    </row>
    <row r="41" spans="1:20" x14ac:dyDescent="0.2">
      <c r="A41">
        <v>1</v>
      </c>
      <c r="B41">
        <v>1</v>
      </c>
      <c r="C41">
        <v>42</v>
      </c>
      <c r="D41" t="s">
        <v>166</v>
      </c>
      <c r="E41" t="s">
        <v>18</v>
      </c>
      <c r="F41">
        <v>0.995</v>
      </c>
      <c r="G41">
        <v>6</v>
      </c>
      <c r="H41">
        <v>3000</v>
      </c>
      <c r="I41">
        <v>3000</v>
      </c>
      <c r="J41">
        <v>42.34</v>
      </c>
      <c r="K41">
        <v>146.6</v>
      </c>
      <c r="L41" s="1" t="s">
        <v>167</v>
      </c>
      <c r="M41" s="1" t="s">
        <v>168</v>
      </c>
      <c r="N41" t="b">
        <v>0</v>
      </c>
      <c r="O41" s="1" t="s">
        <v>21</v>
      </c>
      <c r="P41" s="1">
        <v>137.52740143525901</v>
      </c>
      <c r="Q41" s="1" t="s">
        <v>169</v>
      </c>
      <c r="S41">
        <f>P41+P42+P43+P44+P45</f>
        <v>716.23974721693094</v>
      </c>
      <c r="T41">
        <f>S41/5</f>
        <v>143.24794944338618</v>
      </c>
    </row>
    <row r="42" spans="1:20" x14ac:dyDescent="0.2">
      <c r="A42">
        <v>1</v>
      </c>
      <c r="B42">
        <v>1</v>
      </c>
      <c r="C42">
        <v>43</v>
      </c>
      <c r="D42" t="s">
        <v>170</v>
      </c>
      <c r="E42" t="s">
        <v>18</v>
      </c>
      <c r="F42">
        <v>0.995</v>
      </c>
      <c r="G42">
        <v>6</v>
      </c>
      <c r="H42">
        <v>3000</v>
      </c>
      <c r="I42">
        <v>3000</v>
      </c>
      <c r="J42">
        <v>40.49</v>
      </c>
      <c r="K42">
        <v>150.9</v>
      </c>
      <c r="L42" s="1" t="s">
        <v>171</v>
      </c>
      <c r="M42" s="1" t="s">
        <v>172</v>
      </c>
      <c r="N42" t="b">
        <v>0</v>
      </c>
      <c r="O42" s="1" t="s">
        <v>21</v>
      </c>
      <c r="P42" s="1">
        <v>148.078336486648</v>
      </c>
      <c r="Q42" s="1" t="s">
        <v>173</v>
      </c>
    </row>
    <row r="43" spans="1:20" x14ac:dyDescent="0.2">
      <c r="A43">
        <v>1</v>
      </c>
      <c r="B43">
        <v>1</v>
      </c>
      <c r="C43">
        <v>44</v>
      </c>
      <c r="D43" t="s">
        <v>174</v>
      </c>
      <c r="E43" t="s">
        <v>18</v>
      </c>
      <c r="F43">
        <v>0.995</v>
      </c>
      <c r="G43">
        <v>6</v>
      </c>
      <c r="H43">
        <v>3000</v>
      </c>
      <c r="I43">
        <v>3000</v>
      </c>
      <c r="J43">
        <v>41.43</v>
      </c>
      <c r="K43">
        <v>146.5</v>
      </c>
      <c r="L43" s="1" t="s">
        <v>72</v>
      </c>
      <c r="M43" s="1" t="s">
        <v>175</v>
      </c>
      <c r="N43" t="b">
        <v>0</v>
      </c>
      <c r="O43" s="1" t="s">
        <v>21</v>
      </c>
      <c r="P43" s="1">
        <v>140.466198633678</v>
      </c>
      <c r="Q43" s="1" t="s">
        <v>176</v>
      </c>
    </row>
    <row r="44" spans="1:20" x14ac:dyDescent="0.2">
      <c r="A44">
        <v>1</v>
      </c>
      <c r="B44">
        <v>1</v>
      </c>
      <c r="C44">
        <v>45</v>
      </c>
      <c r="D44" t="s">
        <v>177</v>
      </c>
      <c r="E44" t="s">
        <v>18</v>
      </c>
      <c r="F44">
        <v>0.995</v>
      </c>
      <c r="G44">
        <v>6</v>
      </c>
      <c r="H44">
        <v>3000</v>
      </c>
      <c r="I44">
        <v>3000</v>
      </c>
      <c r="J44">
        <v>40.869999999999997</v>
      </c>
      <c r="K44">
        <v>150.9</v>
      </c>
      <c r="L44" s="1" t="s">
        <v>103</v>
      </c>
      <c r="M44" s="1" t="s">
        <v>178</v>
      </c>
      <c r="N44" t="b">
        <v>0</v>
      </c>
      <c r="O44" s="1" t="s">
        <v>21</v>
      </c>
      <c r="P44" s="1">
        <v>146.69491901430399</v>
      </c>
      <c r="Q44" s="1" t="s">
        <v>179</v>
      </c>
    </row>
    <row r="45" spans="1:20" x14ac:dyDescent="0.2">
      <c r="A45">
        <v>1</v>
      </c>
      <c r="B45">
        <v>1</v>
      </c>
      <c r="C45">
        <v>46</v>
      </c>
      <c r="D45" t="s">
        <v>180</v>
      </c>
      <c r="E45" t="s">
        <v>18</v>
      </c>
      <c r="F45">
        <v>0.995</v>
      </c>
      <c r="G45">
        <v>6</v>
      </c>
      <c r="H45">
        <v>3000</v>
      </c>
      <c r="I45">
        <v>3000</v>
      </c>
      <c r="J45">
        <v>41.23</v>
      </c>
      <c r="K45">
        <v>148.9</v>
      </c>
      <c r="L45" s="1" t="s">
        <v>181</v>
      </c>
      <c r="M45" s="1" t="s">
        <v>182</v>
      </c>
      <c r="N45" t="b">
        <v>0</v>
      </c>
      <c r="O45" s="1" t="s">
        <v>21</v>
      </c>
      <c r="P45" s="1">
        <v>143.47289164704199</v>
      </c>
      <c r="Q45" s="1" t="s">
        <v>183</v>
      </c>
    </row>
    <row r="46" spans="1:20" x14ac:dyDescent="0.2">
      <c r="A46">
        <v>1</v>
      </c>
      <c r="B46">
        <v>1</v>
      </c>
      <c r="C46">
        <v>47</v>
      </c>
      <c r="D46" t="s">
        <v>184</v>
      </c>
      <c r="E46" t="s">
        <v>18</v>
      </c>
      <c r="F46">
        <v>0.995</v>
      </c>
      <c r="G46">
        <v>6</v>
      </c>
      <c r="H46">
        <v>5000</v>
      </c>
      <c r="I46">
        <v>5000</v>
      </c>
      <c r="J46">
        <v>39.61</v>
      </c>
      <c r="K46">
        <v>259.89999999999998</v>
      </c>
      <c r="L46" s="1" t="s">
        <v>143</v>
      </c>
      <c r="M46" s="1" t="s">
        <v>185</v>
      </c>
      <c r="N46" t="b">
        <v>0</v>
      </c>
      <c r="O46" s="1" t="s">
        <v>21</v>
      </c>
      <c r="P46" s="1">
        <v>261.179629433309</v>
      </c>
      <c r="Q46" s="1" t="s">
        <v>186</v>
      </c>
      <c r="S46">
        <f>P46+P47+P48+P49</f>
        <v>997.13821356023288</v>
      </c>
      <c r="T46">
        <f>S46/4</f>
        <v>249.28455339005822</v>
      </c>
    </row>
    <row r="47" spans="1:20" x14ac:dyDescent="0.2">
      <c r="A47">
        <v>1</v>
      </c>
      <c r="B47">
        <v>1</v>
      </c>
      <c r="C47">
        <v>48</v>
      </c>
      <c r="D47" t="s">
        <v>187</v>
      </c>
      <c r="E47" t="s">
        <v>18</v>
      </c>
      <c r="F47">
        <v>0.995</v>
      </c>
      <c r="G47">
        <v>6</v>
      </c>
      <c r="H47">
        <v>5000</v>
      </c>
      <c r="I47">
        <v>5000</v>
      </c>
      <c r="J47">
        <v>40.92</v>
      </c>
      <c r="K47">
        <v>259.89999999999998</v>
      </c>
      <c r="L47" s="1" t="s">
        <v>188</v>
      </c>
      <c r="M47" s="1" t="s">
        <v>189</v>
      </c>
      <c r="N47" t="b">
        <v>0</v>
      </c>
      <c r="O47" s="1" t="s">
        <v>21</v>
      </c>
      <c r="P47" s="1">
        <v>252.77816116220501</v>
      </c>
      <c r="Q47" s="1" t="s">
        <v>190</v>
      </c>
    </row>
    <row r="48" spans="1:20" x14ac:dyDescent="0.2">
      <c r="A48">
        <v>1</v>
      </c>
      <c r="B48">
        <v>1</v>
      </c>
      <c r="C48">
        <v>50</v>
      </c>
      <c r="D48" t="s">
        <v>191</v>
      </c>
      <c r="E48" t="s">
        <v>18</v>
      </c>
      <c r="F48">
        <v>0.995</v>
      </c>
      <c r="G48">
        <v>6</v>
      </c>
      <c r="H48">
        <v>5000</v>
      </c>
      <c r="I48">
        <v>5000</v>
      </c>
      <c r="J48">
        <v>42.34</v>
      </c>
      <c r="K48">
        <v>245.9</v>
      </c>
      <c r="L48" s="1" t="s">
        <v>167</v>
      </c>
      <c r="M48" s="1" t="s">
        <v>192</v>
      </c>
      <c r="N48" t="b">
        <v>0</v>
      </c>
      <c r="O48" s="1" t="s">
        <v>21</v>
      </c>
      <c r="P48" s="1">
        <v>231.072511820937</v>
      </c>
      <c r="Q48" s="1" t="s">
        <v>193</v>
      </c>
    </row>
    <row r="49" spans="1:24" x14ac:dyDescent="0.2">
      <c r="A49">
        <v>1</v>
      </c>
      <c r="B49">
        <v>1</v>
      </c>
      <c r="C49">
        <v>52</v>
      </c>
      <c r="D49" t="s">
        <v>194</v>
      </c>
      <c r="E49" t="s">
        <v>18</v>
      </c>
      <c r="F49">
        <v>0.995</v>
      </c>
      <c r="G49">
        <v>6</v>
      </c>
      <c r="H49">
        <v>5000</v>
      </c>
      <c r="I49">
        <v>5000</v>
      </c>
      <c r="J49">
        <v>43.17</v>
      </c>
      <c r="K49">
        <v>273.5</v>
      </c>
      <c r="L49">
        <v>0.923850950516375</v>
      </c>
      <c r="M49" s="1" t="s">
        <v>195</v>
      </c>
      <c r="N49" t="b">
        <v>0</v>
      </c>
      <c r="O49" s="1" t="s">
        <v>21</v>
      </c>
      <c r="P49" s="1">
        <v>252.10791114378199</v>
      </c>
      <c r="Q49" s="1" t="s">
        <v>196</v>
      </c>
    </row>
    <row r="50" spans="1:24" x14ac:dyDescent="0.2">
      <c r="A50">
        <v>1</v>
      </c>
      <c r="B50">
        <v>1</v>
      </c>
      <c r="C50">
        <v>53</v>
      </c>
      <c r="D50" t="s">
        <v>197</v>
      </c>
      <c r="E50" t="s">
        <v>18</v>
      </c>
      <c r="F50">
        <v>0.995</v>
      </c>
      <c r="G50">
        <v>10</v>
      </c>
      <c r="H50">
        <v>0</v>
      </c>
      <c r="I50">
        <v>0</v>
      </c>
      <c r="J50">
        <v>39.799999999999997</v>
      </c>
      <c r="K50">
        <v>0.64780000000000004</v>
      </c>
      <c r="L50" s="1" t="s">
        <v>198</v>
      </c>
      <c r="M50" s="1" t="s">
        <v>199</v>
      </c>
      <c r="N50" t="b">
        <v>1</v>
      </c>
      <c r="O50" s="1" t="s">
        <v>21</v>
      </c>
      <c r="P50">
        <v>3.5967333304445702E-2</v>
      </c>
      <c r="Q50" s="1" t="s">
        <v>200</v>
      </c>
      <c r="S50">
        <f>P50+P51+P52+P53+P54</f>
        <v>0.19355366078532099</v>
      </c>
      <c r="T50">
        <f>S50/5</f>
        <v>3.87107321570642E-2</v>
      </c>
    </row>
    <row r="51" spans="1:24" x14ac:dyDescent="0.2">
      <c r="A51">
        <v>1</v>
      </c>
      <c r="B51">
        <v>1</v>
      </c>
      <c r="C51">
        <v>54</v>
      </c>
      <c r="D51" t="s">
        <v>201</v>
      </c>
      <c r="E51" t="s">
        <v>18</v>
      </c>
      <c r="F51">
        <v>0.995</v>
      </c>
      <c r="G51">
        <v>10</v>
      </c>
      <c r="H51">
        <v>0</v>
      </c>
      <c r="I51">
        <v>0</v>
      </c>
      <c r="J51">
        <v>39.21</v>
      </c>
      <c r="K51">
        <v>0.51390000000000002</v>
      </c>
      <c r="L51" s="1" t="s">
        <v>202</v>
      </c>
      <c r="M51" s="1" t="s">
        <v>203</v>
      </c>
      <c r="N51" t="b">
        <v>1</v>
      </c>
      <c r="O51" s="1" t="s">
        <v>21</v>
      </c>
      <c r="P51">
        <v>9.97484095261396E-2</v>
      </c>
      <c r="Q51">
        <v>5.1518299151239302E-2</v>
      </c>
    </row>
    <row r="52" spans="1:24" x14ac:dyDescent="0.2">
      <c r="A52">
        <v>1</v>
      </c>
      <c r="B52">
        <v>1</v>
      </c>
      <c r="C52">
        <v>55</v>
      </c>
      <c r="D52" t="s">
        <v>204</v>
      </c>
      <c r="E52" t="s">
        <v>18</v>
      </c>
      <c r="F52">
        <v>0.995</v>
      </c>
      <c r="G52">
        <v>10</v>
      </c>
      <c r="H52">
        <v>0</v>
      </c>
      <c r="I52">
        <v>0</v>
      </c>
      <c r="J52">
        <v>38.380000000000003</v>
      </c>
      <c r="K52">
        <v>0.625</v>
      </c>
      <c r="L52" s="1" t="s">
        <v>205</v>
      </c>
      <c r="M52" s="1" t="s">
        <v>206</v>
      </c>
      <c r="N52" t="b">
        <v>1</v>
      </c>
      <c r="O52" s="1" t="s">
        <v>21</v>
      </c>
      <c r="P52">
        <v>1.35987603194991E-2</v>
      </c>
      <c r="Q52">
        <v>8.5419348740572807E-3</v>
      </c>
    </row>
    <row r="53" spans="1:24" x14ac:dyDescent="0.2">
      <c r="A53">
        <v>1</v>
      </c>
      <c r="B53">
        <v>1</v>
      </c>
      <c r="C53">
        <v>56</v>
      </c>
      <c r="D53" t="s">
        <v>207</v>
      </c>
      <c r="E53" t="s">
        <v>18</v>
      </c>
      <c r="F53">
        <v>0.995</v>
      </c>
      <c r="G53">
        <v>10</v>
      </c>
      <c r="H53">
        <v>0</v>
      </c>
      <c r="I53">
        <v>0</v>
      </c>
      <c r="J53">
        <v>39.76</v>
      </c>
      <c r="K53">
        <v>0.64949999999999997</v>
      </c>
      <c r="L53" s="1" t="s">
        <v>208</v>
      </c>
      <c r="M53">
        <v>0.65175781180044501</v>
      </c>
      <c r="N53" t="b">
        <v>1</v>
      </c>
      <c r="O53" s="1" t="s">
        <v>21</v>
      </c>
      <c r="P53" s="1">
        <v>3.7709606165227998E-2</v>
      </c>
      <c r="Q53" s="1" t="s">
        <v>209</v>
      </c>
    </row>
    <row r="54" spans="1:24" x14ac:dyDescent="0.2">
      <c r="A54">
        <v>1</v>
      </c>
      <c r="B54">
        <v>1</v>
      </c>
      <c r="C54">
        <v>57</v>
      </c>
      <c r="D54" t="s">
        <v>210</v>
      </c>
      <c r="E54" t="s">
        <v>18</v>
      </c>
      <c r="F54">
        <v>0.995</v>
      </c>
      <c r="G54">
        <v>10</v>
      </c>
      <c r="H54">
        <v>0</v>
      </c>
      <c r="I54">
        <v>0</v>
      </c>
      <c r="J54">
        <v>39.590000000000003</v>
      </c>
      <c r="K54">
        <v>0.61839999999999995</v>
      </c>
      <c r="L54" s="1" t="s">
        <v>211</v>
      </c>
      <c r="M54" s="1" t="s">
        <v>212</v>
      </c>
      <c r="N54" t="b">
        <v>1</v>
      </c>
      <c r="O54" s="1" t="s">
        <v>21</v>
      </c>
      <c r="P54">
        <v>6.52955147000859E-3</v>
      </c>
      <c r="Q54">
        <v>4.0581654563349896E-3</v>
      </c>
    </row>
    <row r="55" spans="1:24" x14ac:dyDescent="0.2">
      <c r="A55">
        <v>1</v>
      </c>
      <c r="B55">
        <v>1</v>
      </c>
      <c r="C55">
        <v>58</v>
      </c>
      <c r="D55" t="s">
        <v>213</v>
      </c>
      <c r="E55" t="s">
        <v>18</v>
      </c>
      <c r="F55">
        <v>0.995</v>
      </c>
      <c r="G55">
        <v>10</v>
      </c>
      <c r="H55">
        <v>10</v>
      </c>
      <c r="I55">
        <v>10</v>
      </c>
      <c r="J55">
        <v>40.92</v>
      </c>
      <c r="K55">
        <v>1.5109999999999999</v>
      </c>
      <c r="L55" s="1" t="s">
        <v>188</v>
      </c>
      <c r="M55" s="1" t="s">
        <v>214</v>
      </c>
      <c r="N55" t="b">
        <v>0</v>
      </c>
      <c r="O55" s="1" t="s">
        <v>21</v>
      </c>
      <c r="P55" s="1">
        <v>0.87650589426121395</v>
      </c>
      <c r="Q55" s="1" t="s">
        <v>215</v>
      </c>
      <c r="S55">
        <f>P55+P56+P57+P58+P59</f>
        <v>4.1718274879459791</v>
      </c>
      <c r="T55">
        <f>S55/5</f>
        <v>0.83436549758919587</v>
      </c>
      <c r="V55">
        <v>0</v>
      </c>
      <c r="W55">
        <f>S104/5</f>
        <v>5.8147565694246284E-2</v>
      </c>
      <c r="X55">
        <f>_xlfn.STDEV.S(P104:P108)</f>
        <v>3.1658999694371623E-2</v>
      </c>
    </row>
    <row r="56" spans="1:24" x14ac:dyDescent="0.2">
      <c r="A56">
        <v>1</v>
      </c>
      <c r="B56">
        <v>1</v>
      </c>
      <c r="C56">
        <v>59</v>
      </c>
      <c r="D56" t="s">
        <v>216</v>
      </c>
      <c r="E56" t="s">
        <v>18</v>
      </c>
      <c r="F56">
        <v>0.995</v>
      </c>
      <c r="G56">
        <v>10</v>
      </c>
      <c r="H56">
        <v>10</v>
      </c>
      <c r="I56">
        <v>10</v>
      </c>
      <c r="J56">
        <v>42.56</v>
      </c>
      <c r="K56">
        <v>1.59</v>
      </c>
      <c r="L56" s="1" t="s">
        <v>217</v>
      </c>
      <c r="M56" s="1" t="s">
        <v>218</v>
      </c>
      <c r="N56" t="b">
        <v>0</v>
      </c>
      <c r="O56" s="1" t="s">
        <v>21</v>
      </c>
      <c r="P56">
        <v>0.91660998656895998</v>
      </c>
      <c r="Q56" s="1" t="s">
        <v>219</v>
      </c>
      <c r="V56">
        <v>10</v>
      </c>
      <c r="W56">
        <v>0.83436500000000002</v>
      </c>
      <c r="X56">
        <f>_xlfn.STDEV.S(P55:P59)</f>
        <v>6.9470649050545619E-2</v>
      </c>
    </row>
    <row r="57" spans="1:24" x14ac:dyDescent="0.2">
      <c r="A57">
        <v>1</v>
      </c>
      <c r="B57">
        <v>1</v>
      </c>
      <c r="C57">
        <v>60</v>
      </c>
      <c r="D57" t="s">
        <v>220</v>
      </c>
      <c r="E57" t="s">
        <v>18</v>
      </c>
      <c r="F57">
        <v>0.995</v>
      </c>
      <c r="G57">
        <v>10</v>
      </c>
      <c r="H57">
        <v>10</v>
      </c>
      <c r="I57">
        <v>10</v>
      </c>
      <c r="J57">
        <v>42.02</v>
      </c>
      <c r="K57">
        <v>1.4990000000000001</v>
      </c>
      <c r="L57" s="1" t="s">
        <v>221</v>
      </c>
      <c r="M57" s="1" t="s">
        <v>222</v>
      </c>
      <c r="N57" t="b">
        <v>0</v>
      </c>
      <c r="O57" s="1" t="s">
        <v>21</v>
      </c>
      <c r="P57" s="1">
        <v>0.84206240648876396</v>
      </c>
      <c r="Q57">
        <v>1.26859451992629</v>
      </c>
      <c r="V57">
        <v>25</v>
      </c>
      <c r="W57">
        <v>1.245355</v>
      </c>
      <c r="X57">
        <f>_xlfn.STDEV.S(P60:P64)</f>
        <v>0.21835470813500862</v>
      </c>
    </row>
    <row r="58" spans="1:24" x14ac:dyDescent="0.2">
      <c r="A58">
        <v>1</v>
      </c>
      <c r="B58">
        <v>1</v>
      </c>
      <c r="C58">
        <v>61</v>
      </c>
      <c r="D58" t="s">
        <v>223</v>
      </c>
      <c r="E58" t="s">
        <v>18</v>
      </c>
      <c r="F58">
        <v>0.995</v>
      </c>
      <c r="G58">
        <v>10</v>
      </c>
      <c r="H58">
        <v>10</v>
      </c>
      <c r="I58">
        <v>10</v>
      </c>
      <c r="J58">
        <v>39.21</v>
      </c>
      <c r="K58">
        <v>1.3360000000000001</v>
      </c>
      <c r="L58" s="1" t="s">
        <v>202</v>
      </c>
      <c r="M58" s="1" t="s">
        <v>224</v>
      </c>
      <c r="N58" t="b">
        <v>0</v>
      </c>
      <c r="O58" s="1" t="s">
        <v>21</v>
      </c>
      <c r="P58" s="1">
        <v>0.73683910614368198</v>
      </c>
      <c r="Q58" s="1" t="s">
        <v>225</v>
      </c>
      <c r="V58">
        <v>50</v>
      </c>
      <c r="W58">
        <v>2.4239190000000002</v>
      </c>
      <c r="X58">
        <f>_xlfn.STDEV.S(P65:P69)</f>
        <v>0.15976449572329424</v>
      </c>
    </row>
    <row r="59" spans="1:24" x14ac:dyDescent="0.2">
      <c r="A59">
        <v>1</v>
      </c>
      <c r="B59">
        <v>1</v>
      </c>
      <c r="C59">
        <v>62</v>
      </c>
      <c r="D59" t="s">
        <v>226</v>
      </c>
      <c r="E59" t="s">
        <v>18</v>
      </c>
      <c r="F59">
        <v>0.995</v>
      </c>
      <c r="G59">
        <v>10</v>
      </c>
      <c r="H59">
        <v>10</v>
      </c>
      <c r="I59">
        <v>10</v>
      </c>
      <c r="J59">
        <v>37.28</v>
      </c>
      <c r="K59">
        <v>1.359</v>
      </c>
      <c r="L59" s="1" t="s">
        <v>227</v>
      </c>
      <c r="M59" s="1" t="s">
        <v>228</v>
      </c>
      <c r="N59" t="b">
        <v>0</v>
      </c>
      <c r="O59" s="1" t="s">
        <v>21</v>
      </c>
      <c r="P59" s="1">
        <v>0.79981009448335905</v>
      </c>
      <c r="Q59" s="1" t="s">
        <v>229</v>
      </c>
      <c r="V59">
        <v>100</v>
      </c>
      <c r="W59">
        <v>4.8046030000000002</v>
      </c>
      <c r="X59">
        <f>_xlfn.STDEV.S(P70:P74)</f>
        <v>0.48069142719107383</v>
      </c>
    </row>
    <row r="60" spans="1:24" x14ac:dyDescent="0.2">
      <c r="A60">
        <v>1</v>
      </c>
      <c r="B60">
        <v>1</v>
      </c>
      <c r="C60">
        <v>64</v>
      </c>
      <c r="D60" t="s">
        <v>230</v>
      </c>
      <c r="E60" t="s">
        <v>18</v>
      </c>
      <c r="F60">
        <v>0.995</v>
      </c>
      <c r="G60">
        <v>10</v>
      </c>
      <c r="H60">
        <v>25</v>
      </c>
      <c r="I60">
        <v>25</v>
      </c>
      <c r="J60">
        <v>39.03</v>
      </c>
      <c r="K60">
        <v>1.655</v>
      </c>
      <c r="L60" s="1" t="s">
        <v>231</v>
      </c>
      <c r="M60" s="1" t="s">
        <v>232</v>
      </c>
      <c r="N60" t="b">
        <v>0</v>
      </c>
      <c r="O60" s="1" t="s">
        <v>21</v>
      </c>
      <c r="P60" s="1">
        <v>1.0663806381032701</v>
      </c>
      <c r="Q60" s="1" t="s">
        <v>233</v>
      </c>
      <c r="S60">
        <f>P60+P62+P61+P63+P64</f>
        <v>6.2267730378557902</v>
      </c>
      <c r="T60">
        <f>S60/5</f>
        <v>1.2453546075711581</v>
      </c>
      <c r="V60">
        <v>250</v>
      </c>
      <c r="W60">
        <f>S75/5</f>
        <v>12.423319542554079</v>
      </c>
      <c r="X60">
        <f>_xlfn.STDEV.S(P75:P79)</f>
        <v>1.0089519257177868</v>
      </c>
    </row>
    <row r="61" spans="1:24" x14ac:dyDescent="0.2">
      <c r="A61">
        <v>1</v>
      </c>
      <c r="B61">
        <v>1</v>
      </c>
      <c r="C61">
        <v>65</v>
      </c>
      <c r="D61" t="s">
        <v>234</v>
      </c>
      <c r="E61" t="s">
        <v>18</v>
      </c>
      <c r="F61">
        <v>0.995</v>
      </c>
      <c r="G61">
        <v>10</v>
      </c>
      <c r="H61">
        <v>25</v>
      </c>
      <c r="I61">
        <v>25</v>
      </c>
      <c r="J61">
        <v>37.6</v>
      </c>
      <c r="K61">
        <v>1.952</v>
      </c>
      <c r="L61" s="1" t="s">
        <v>235</v>
      </c>
      <c r="M61" s="1" t="s">
        <v>236</v>
      </c>
      <c r="N61" t="b">
        <v>0</v>
      </c>
      <c r="O61" s="1" t="s">
        <v>21</v>
      </c>
      <c r="P61" s="1">
        <v>1.4223921002878399</v>
      </c>
      <c r="Q61" s="1" t="s">
        <v>237</v>
      </c>
      <c r="V61">
        <v>500</v>
      </c>
      <c r="W61">
        <f>S80/5</f>
        <v>25.458052816690923</v>
      </c>
      <c r="X61">
        <f>_xlfn.STDEV.S(P80:P84)</f>
        <v>1.9682142334435007</v>
      </c>
    </row>
    <row r="62" spans="1:24" x14ac:dyDescent="0.2">
      <c r="A62">
        <v>1</v>
      </c>
      <c r="B62">
        <v>1</v>
      </c>
      <c r="C62">
        <v>66</v>
      </c>
      <c r="D62" t="s">
        <v>238</v>
      </c>
      <c r="E62" t="s">
        <v>18</v>
      </c>
      <c r="F62">
        <v>0.995</v>
      </c>
      <c r="G62">
        <v>10</v>
      </c>
      <c r="H62">
        <v>25</v>
      </c>
      <c r="I62">
        <v>25</v>
      </c>
      <c r="J62">
        <v>38.130000000000003</v>
      </c>
      <c r="K62">
        <v>1.597</v>
      </c>
      <c r="L62" s="1" t="s">
        <v>239</v>
      </c>
      <c r="M62" s="1" t="s">
        <v>240</v>
      </c>
      <c r="N62" t="b">
        <v>0</v>
      </c>
      <c r="O62" s="1" t="s">
        <v>21</v>
      </c>
      <c r="P62" s="1">
        <v>1.0309781755768199</v>
      </c>
      <c r="Q62" s="1" t="s">
        <v>241</v>
      </c>
      <c r="V62">
        <v>1000</v>
      </c>
      <c r="W62">
        <f>S85/5</f>
        <v>48.045728521497821</v>
      </c>
      <c r="X62">
        <f>_xlfn.STDEV.S(P85:P89)</f>
        <v>3.8828439080214179</v>
      </c>
    </row>
    <row r="63" spans="1:24" x14ac:dyDescent="0.2">
      <c r="A63">
        <v>1</v>
      </c>
      <c r="B63">
        <v>1</v>
      </c>
      <c r="C63">
        <v>67</v>
      </c>
      <c r="D63" t="s">
        <v>242</v>
      </c>
      <c r="E63" t="s">
        <v>18</v>
      </c>
      <c r="F63">
        <v>0.995</v>
      </c>
      <c r="G63">
        <v>10</v>
      </c>
      <c r="H63">
        <v>25</v>
      </c>
      <c r="I63">
        <v>25</v>
      </c>
      <c r="J63">
        <v>37.51</v>
      </c>
      <c r="K63">
        <v>1.724</v>
      </c>
      <c r="L63" s="1" t="s">
        <v>243</v>
      </c>
      <c r="M63" s="1" t="s">
        <v>244</v>
      </c>
      <c r="N63" t="b">
        <v>0</v>
      </c>
      <c r="O63" s="1" t="s">
        <v>21</v>
      </c>
      <c r="P63" s="1">
        <v>1.1832344240208199</v>
      </c>
      <c r="Q63" s="1" t="s">
        <v>245</v>
      </c>
      <c r="V63">
        <v>2000</v>
      </c>
      <c r="W63">
        <f>S90/5</f>
        <v>107.8531304070693</v>
      </c>
      <c r="X63">
        <f>_xlfn.STDEV.S(P90:P94)</f>
        <v>9.6824546211574471</v>
      </c>
    </row>
    <row r="64" spans="1:24" x14ac:dyDescent="0.2">
      <c r="A64">
        <v>1</v>
      </c>
      <c r="B64">
        <v>1</v>
      </c>
      <c r="C64">
        <v>68</v>
      </c>
      <c r="D64" t="s">
        <v>246</v>
      </c>
      <c r="E64" t="s">
        <v>18</v>
      </c>
      <c r="F64">
        <v>0.995</v>
      </c>
      <c r="G64">
        <v>10</v>
      </c>
      <c r="H64">
        <v>25</v>
      </c>
      <c r="I64">
        <v>25</v>
      </c>
      <c r="J64">
        <v>38.42</v>
      </c>
      <c r="K64">
        <v>2.0790000000000002</v>
      </c>
      <c r="L64" s="1" t="s">
        <v>247</v>
      </c>
      <c r="M64" s="1" t="s">
        <v>248</v>
      </c>
      <c r="N64" t="b">
        <v>0</v>
      </c>
      <c r="O64" s="1" t="s">
        <v>21</v>
      </c>
      <c r="P64">
        <v>1.5237876998670401</v>
      </c>
      <c r="Q64" s="1" t="s">
        <v>249</v>
      </c>
      <c r="V64">
        <v>3000</v>
      </c>
      <c r="W64">
        <f>S95/5</f>
        <v>147.99282852842859</v>
      </c>
      <c r="X64">
        <f>_xlfn.STDEV.S(P95:P99)</f>
        <v>12.415692331135094</v>
      </c>
    </row>
    <row r="65" spans="1:24" x14ac:dyDescent="0.2">
      <c r="A65">
        <v>1</v>
      </c>
      <c r="B65">
        <v>1</v>
      </c>
      <c r="C65">
        <v>69</v>
      </c>
      <c r="D65" t="s">
        <v>250</v>
      </c>
      <c r="E65" t="s">
        <v>18</v>
      </c>
      <c r="F65">
        <v>0.995</v>
      </c>
      <c r="G65">
        <v>10</v>
      </c>
      <c r="H65">
        <v>50</v>
      </c>
      <c r="I65">
        <v>50</v>
      </c>
      <c r="J65">
        <v>37.94</v>
      </c>
      <c r="K65">
        <v>2.9889999999999999</v>
      </c>
      <c r="L65" s="1" t="s">
        <v>251</v>
      </c>
      <c r="M65">
        <v>3.1440180268316298</v>
      </c>
      <c r="N65" t="b">
        <v>0</v>
      </c>
      <c r="O65" s="1" t="s">
        <v>21</v>
      </c>
      <c r="P65" s="1">
        <v>2.5003610378977701</v>
      </c>
      <c r="Q65" s="1" t="s">
        <v>252</v>
      </c>
      <c r="S65">
        <f>P65+P66+P67+P68+P69</f>
        <v>12.11959495214078</v>
      </c>
      <c r="T65">
        <f>S65/5</f>
        <v>2.423918990428156</v>
      </c>
      <c r="V65">
        <v>5000</v>
      </c>
      <c r="W65">
        <f>S100/4</f>
        <v>256.9670668789575</v>
      </c>
      <c r="X65">
        <f>_xlfn.STDEV.S(P100:P103)</f>
        <v>26.230887728473064</v>
      </c>
    </row>
    <row r="66" spans="1:24" x14ac:dyDescent="0.2">
      <c r="A66">
        <v>1</v>
      </c>
      <c r="B66">
        <v>1</v>
      </c>
      <c r="C66">
        <v>70</v>
      </c>
      <c r="D66" t="s">
        <v>253</v>
      </c>
      <c r="E66" t="s">
        <v>18</v>
      </c>
      <c r="F66">
        <v>0.995</v>
      </c>
      <c r="G66">
        <v>10</v>
      </c>
      <c r="H66">
        <v>50</v>
      </c>
      <c r="I66">
        <v>50</v>
      </c>
      <c r="J66">
        <v>38.9</v>
      </c>
      <c r="K66">
        <v>2.9140000000000001</v>
      </c>
      <c r="L66" s="1" t="s">
        <v>254</v>
      </c>
      <c r="M66" s="1" t="s">
        <v>255</v>
      </c>
      <c r="N66" t="b">
        <v>0</v>
      </c>
      <c r="O66" s="1" t="s">
        <v>21</v>
      </c>
      <c r="P66" s="1">
        <v>2.3614107512669298</v>
      </c>
      <c r="Q66" s="1" t="s">
        <v>256</v>
      </c>
    </row>
    <row r="67" spans="1:24" x14ac:dyDescent="0.2">
      <c r="A67">
        <v>1</v>
      </c>
      <c r="B67">
        <v>1</v>
      </c>
      <c r="C67">
        <v>71</v>
      </c>
      <c r="D67" t="s">
        <v>257</v>
      </c>
      <c r="E67" t="s">
        <v>18</v>
      </c>
      <c r="F67">
        <v>0.995</v>
      </c>
      <c r="G67">
        <v>10</v>
      </c>
      <c r="H67">
        <v>50</v>
      </c>
      <c r="I67">
        <v>50</v>
      </c>
      <c r="J67">
        <v>38.700000000000003</v>
      </c>
      <c r="K67">
        <v>2.9969999999999999</v>
      </c>
      <c r="L67" s="1" t="s">
        <v>258</v>
      </c>
      <c r="M67">
        <v>3.09021030360553</v>
      </c>
      <c r="N67" t="b">
        <v>0</v>
      </c>
      <c r="O67" s="1" t="s">
        <v>21</v>
      </c>
      <c r="P67" s="1">
        <v>2.4592577968769298</v>
      </c>
      <c r="Q67">
        <v>7.4074327811459</v>
      </c>
    </row>
    <row r="68" spans="1:24" x14ac:dyDescent="0.2">
      <c r="A68">
        <v>1</v>
      </c>
      <c r="B68">
        <v>1</v>
      </c>
      <c r="C68">
        <v>72</v>
      </c>
      <c r="D68" t="s">
        <v>259</v>
      </c>
      <c r="E68" t="s">
        <v>18</v>
      </c>
      <c r="F68">
        <v>0.995</v>
      </c>
      <c r="G68">
        <v>10</v>
      </c>
      <c r="H68">
        <v>50</v>
      </c>
      <c r="I68">
        <v>50</v>
      </c>
      <c r="J68">
        <v>39.44</v>
      </c>
      <c r="K68">
        <v>2.774</v>
      </c>
      <c r="L68" s="1" t="s">
        <v>260</v>
      </c>
      <c r="M68" s="1" t="s">
        <v>261</v>
      </c>
      <c r="N68" t="b">
        <v>0</v>
      </c>
      <c r="O68" s="1" t="s">
        <v>21</v>
      </c>
      <c r="P68" s="1">
        <v>2.1872857688423601</v>
      </c>
      <c r="Q68" s="1" t="s">
        <v>262</v>
      </c>
    </row>
    <row r="69" spans="1:24" x14ac:dyDescent="0.2">
      <c r="A69">
        <v>1</v>
      </c>
      <c r="B69">
        <v>1</v>
      </c>
      <c r="C69">
        <v>73</v>
      </c>
      <c r="D69" t="s">
        <v>263</v>
      </c>
      <c r="E69" t="s">
        <v>18</v>
      </c>
      <c r="F69">
        <v>0.995</v>
      </c>
      <c r="G69">
        <v>10</v>
      </c>
      <c r="H69">
        <v>50</v>
      </c>
      <c r="I69">
        <v>50</v>
      </c>
      <c r="J69">
        <v>38.07</v>
      </c>
      <c r="K69">
        <v>3.1030000000000002</v>
      </c>
      <c r="L69" s="1" t="s">
        <v>264</v>
      </c>
      <c r="M69" s="1" t="s">
        <v>265</v>
      </c>
      <c r="N69" t="b">
        <v>0</v>
      </c>
      <c r="O69" s="1" t="s">
        <v>21</v>
      </c>
      <c r="P69" s="1">
        <v>2.6112795972567899</v>
      </c>
      <c r="Q69">
        <v>8.1435181811937891</v>
      </c>
    </row>
    <row r="70" spans="1:24" x14ac:dyDescent="0.2">
      <c r="A70">
        <v>1</v>
      </c>
      <c r="B70">
        <v>1</v>
      </c>
      <c r="C70">
        <v>74</v>
      </c>
      <c r="D70" t="s">
        <v>266</v>
      </c>
      <c r="E70" t="s">
        <v>18</v>
      </c>
      <c r="F70">
        <v>0.995</v>
      </c>
      <c r="G70">
        <v>10</v>
      </c>
      <c r="H70">
        <v>100</v>
      </c>
      <c r="I70">
        <v>100</v>
      </c>
      <c r="J70">
        <v>39.58</v>
      </c>
      <c r="K70">
        <v>5.2789999999999999</v>
      </c>
      <c r="L70" s="1" t="s">
        <v>267</v>
      </c>
      <c r="M70" s="1" t="s">
        <v>268</v>
      </c>
      <c r="N70" t="b">
        <v>0</v>
      </c>
      <c r="O70" s="1" t="s">
        <v>21</v>
      </c>
      <c r="P70" s="1">
        <v>4.7047070541355698</v>
      </c>
      <c r="Q70" s="1" t="s">
        <v>269</v>
      </c>
      <c r="S70">
        <f>P70+P71+P72+P73+P74</f>
        <v>24.023014246265099</v>
      </c>
      <c r="T70">
        <f>S70/5</f>
        <v>4.8046028492530199</v>
      </c>
    </row>
    <row r="71" spans="1:24" x14ac:dyDescent="0.2">
      <c r="A71">
        <v>1</v>
      </c>
      <c r="B71">
        <v>1</v>
      </c>
      <c r="C71">
        <v>75</v>
      </c>
      <c r="D71" t="s">
        <v>270</v>
      </c>
      <c r="E71" t="s">
        <v>18</v>
      </c>
      <c r="F71">
        <v>0.995</v>
      </c>
      <c r="G71">
        <v>10</v>
      </c>
      <c r="H71">
        <v>100</v>
      </c>
      <c r="I71">
        <v>100</v>
      </c>
      <c r="J71">
        <v>36.61</v>
      </c>
      <c r="K71">
        <v>5.649</v>
      </c>
      <c r="L71" s="1" t="s">
        <v>271</v>
      </c>
      <c r="M71" s="1" t="s">
        <v>272</v>
      </c>
      <c r="N71" t="b">
        <v>0</v>
      </c>
      <c r="O71" s="1" t="s">
        <v>21</v>
      </c>
      <c r="P71" s="1">
        <v>5.4918316029582401</v>
      </c>
      <c r="Q71" s="1" t="s">
        <v>273</v>
      </c>
    </row>
    <row r="72" spans="1:24" x14ac:dyDescent="0.2">
      <c r="A72">
        <v>1</v>
      </c>
      <c r="B72">
        <v>1</v>
      </c>
      <c r="C72">
        <v>76</v>
      </c>
      <c r="D72" t="s">
        <v>274</v>
      </c>
      <c r="E72" t="s">
        <v>18</v>
      </c>
      <c r="F72">
        <v>0.995</v>
      </c>
      <c r="G72">
        <v>10</v>
      </c>
      <c r="H72">
        <v>100</v>
      </c>
      <c r="I72">
        <v>100</v>
      </c>
      <c r="J72">
        <v>39.81</v>
      </c>
      <c r="K72">
        <v>5.2249999999999996</v>
      </c>
      <c r="L72">
        <v>1.0022096778937899</v>
      </c>
      <c r="M72" s="1" t="s">
        <v>275</v>
      </c>
      <c r="N72" t="b">
        <v>0</v>
      </c>
      <c r="O72" s="1" t="s">
        <v>21</v>
      </c>
      <c r="P72" s="1">
        <v>4.6232723916168297</v>
      </c>
      <c r="Q72" s="1" t="s">
        <v>276</v>
      </c>
    </row>
    <row r="73" spans="1:24" x14ac:dyDescent="0.2">
      <c r="A73">
        <v>1</v>
      </c>
      <c r="B73">
        <v>1</v>
      </c>
      <c r="C73">
        <v>77</v>
      </c>
      <c r="D73" t="s">
        <v>277</v>
      </c>
      <c r="E73" t="s">
        <v>18</v>
      </c>
      <c r="F73">
        <v>0.995</v>
      </c>
      <c r="G73">
        <v>10</v>
      </c>
      <c r="H73">
        <v>100</v>
      </c>
      <c r="I73">
        <v>100</v>
      </c>
      <c r="J73">
        <v>38.75</v>
      </c>
      <c r="K73">
        <v>5.4729999999999999</v>
      </c>
      <c r="L73" s="1" t="s">
        <v>278</v>
      </c>
      <c r="M73" s="1" t="s">
        <v>279</v>
      </c>
      <c r="N73" t="b">
        <v>0</v>
      </c>
      <c r="O73" s="1" t="s">
        <v>21</v>
      </c>
      <c r="P73" s="1">
        <v>5.0057641357859</v>
      </c>
      <c r="Q73" s="1" t="s">
        <v>280</v>
      </c>
    </row>
    <row r="74" spans="1:24" x14ac:dyDescent="0.2">
      <c r="A74">
        <v>1</v>
      </c>
      <c r="B74">
        <v>1</v>
      </c>
      <c r="C74">
        <v>78</v>
      </c>
      <c r="D74" t="s">
        <v>281</v>
      </c>
      <c r="E74" t="s">
        <v>18</v>
      </c>
      <c r="F74">
        <v>0.995</v>
      </c>
      <c r="G74">
        <v>10</v>
      </c>
      <c r="H74">
        <v>100</v>
      </c>
      <c r="I74">
        <v>100</v>
      </c>
      <c r="J74">
        <v>43.81</v>
      </c>
      <c r="K74">
        <v>5.2229999999999999</v>
      </c>
      <c r="L74" s="1" t="s">
        <v>282</v>
      </c>
      <c r="M74" s="1" t="s">
        <v>283</v>
      </c>
      <c r="N74" t="b">
        <v>0</v>
      </c>
      <c r="O74" s="1" t="s">
        <v>21</v>
      </c>
      <c r="P74" s="1">
        <v>4.1974390617685602</v>
      </c>
      <c r="Q74" s="1" t="s">
        <v>284</v>
      </c>
    </row>
    <row r="75" spans="1:24" x14ac:dyDescent="0.2">
      <c r="A75">
        <v>1</v>
      </c>
      <c r="B75">
        <v>1</v>
      </c>
      <c r="C75">
        <v>79</v>
      </c>
      <c r="D75" t="s">
        <v>285</v>
      </c>
      <c r="E75" t="s">
        <v>18</v>
      </c>
      <c r="F75">
        <v>0.995</v>
      </c>
      <c r="G75">
        <v>10</v>
      </c>
      <c r="H75">
        <v>250</v>
      </c>
      <c r="I75">
        <v>250</v>
      </c>
      <c r="J75">
        <v>38.520000000000003</v>
      </c>
      <c r="K75">
        <v>14.14</v>
      </c>
      <c r="L75">
        <v>1.03594401517049</v>
      </c>
      <c r="M75" s="1" t="s">
        <v>286</v>
      </c>
      <c r="N75" t="b">
        <v>0</v>
      </c>
      <c r="O75" s="1" t="s">
        <v>21</v>
      </c>
      <c r="P75" s="1">
        <v>14.0143324488205</v>
      </c>
      <c r="Q75" s="1" t="s">
        <v>287</v>
      </c>
      <c r="S75">
        <f>P75+P76+P77+P78+P79</f>
        <v>62.1165977127704</v>
      </c>
    </row>
    <row r="76" spans="1:24" x14ac:dyDescent="0.2">
      <c r="A76">
        <v>1</v>
      </c>
      <c r="B76">
        <v>1</v>
      </c>
      <c r="C76">
        <v>80</v>
      </c>
      <c r="D76" t="s">
        <v>288</v>
      </c>
      <c r="E76" t="s">
        <v>18</v>
      </c>
      <c r="F76">
        <v>0.995</v>
      </c>
      <c r="G76">
        <v>10</v>
      </c>
      <c r="H76">
        <v>250</v>
      </c>
      <c r="I76">
        <v>250</v>
      </c>
      <c r="J76">
        <v>37.299999999999997</v>
      </c>
      <c r="K76">
        <v>12.61</v>
      </c>
      <c r="L76" s="1" t="s">
        <v>289</v>
      </c>
      <c r="M76" s="1" t="s">
        <v>290</v>
      </c>
      <c r="N76" t="b">
        <v>0</v>
      </c>
      <c r="O76" s="1" t="s">
        <v>21</v>
      </c>
      <c r="P76" s="1">
        <v>12.838016462991</v>
      </c>
      <c r="Q76" s="1" t="s">
        <v>291</v>
      </c>
    </row>
    <row r="77" spans="1:24" x14ac:dyDescent="0.2">
      <c r="A77">
        <v>1</v>
      </c>
      <c r="B77">
        <v>1</v>
      </c>
      <c r="C77">
        <v>81</v>
      </c>
      <c r="D77" t="s">
        <v>292</v>
      </c>
      <c r="E77" t="s">
        <v>18</v>
      </c>
      <c r="F77">
        <v>0.995</v>
      </c>
      <c r="G77">
        <v>10</v>
      </c>
      <c r="H77">
        <v>250</v>
      </c>
      <c r="I77">
        <v>250</v>
      </c>
      <c r="J77">
        <v>40.479999999999997</v>
      </c>
      <c r="K77">
        <v>12.41</v>
      </c>
      <c r="L77" s="1" t="s">
        <v>293</v>
      </c>
      <c r="M77" s="1" t="s">
        <v>294</v>
      </c>
      <c r="N77" t="b">
        <v>0</v>
      </c>
      <c r="O77" s="1" t="s">
        <v>21</v>
      </c>
      <c r="P77" s="1">
        <v>11.6274929842664</v>
      </c>
      <c r="Q77" s="1" t="s">
        <v>295</v>
      </c>
    </row>
    <row r="78" spans="1:24" x14ac:dyDescent="0.2">
      <c r="A78">
        <v>1</v>
      </c>
      <c r="B78">
        <v>1</v>
      </c>
      <c r="C78">
        <v>82</v>
      </c>
      <c r="D78" t="s">
        <v>296</v>
      </c>
      <c r="E78" t="s">
        <v>18</v>
      </c>
      <c r="F78">
        <v>0.995</v>
      </c>
      <c r="G78">
        <v>10</v>
      </c>
      <c r="H78">
        <v>250</v>
      </c>
      <c r="I78">
        <v>250</v>
      </c>
      <c r="J78">
        <v>39.29</v>
      </c>
      <c r="K78">
        <v>12.29</v>
      </c>
      <c r="L78" s="1" t="s">
        <v>297</v>
      </c>
      <c r="M78" s="1" t="s">
        <v>298</v>
      </c>
      <c r="N78" t="b">
        <v>0</v>
      </c>
      <c r="O78" s="1" t="s">
        <v>21</v>
      </c>
      <c r="P78" s="1">
        <v>11.8595584707528</v>
      </c>
      <c r="Q78" s="1" t="s">
        <v>299</v>
      </c>
    </row>
    <row r="79" spans="1:24" x14ac:dyDescent="0.2">
      <c r="A79">
        <v>1</v>
      </c>
      <c r="B79">
        <v>1</v>
      </c>
      <c r="C79">
        <v>83</v>
      </c>
      <c r="D79" t="s">
        <v>300</v>
      </c>
      <c r="E79" t="s">
        <v>18</v>
      </c>
      <c r="F79">
        <v>0.995</v>
      </c>
      <c r="G79">
        <v>10</v>
      </c>
      <c r="H79">
        <v>250</v>
      </c>
      <c r="I79">
        <v>250</v>
      </c>
      <c r="J79">
        <v>39.26</v>
      </c>
      <c r="K79">
        <v>12.2</v>
      </c>
      <c r="L79" s="1" t="s">
        <v>301</v>
      </c>
      <c r="M79" s="1" t="s">
        <v>302</v>
      </c>
      <c r="N79" t="b">
        <v>0</v>
      </c>
      <c r="O79" s="1" t="s">
        <v>21</v>
      </c>
      <c r="P79" s="1">
        <v>11.777197345939699</v>
      </c>
      <c r="Q79" s="1" t="s">
        <v>303</v>
      </c>
    </row>
    <row r="80" spans="1:24" x14ac:dyDescent="0.2">
      <c r="A80">
        <v>1</v>
      </c>
      <c r="B80">
        <v>1</v>
      </c>
      <c r="C80">
        <v>84</v>
      </c>
      <c r="D80" t="s">
        <v>304</v>
      </c>
      <c r="E80" t="s">
        <v>18</v>
      </c>
      <c r="F80">
        <v>0.995</v>
      </c>
      <c r="G80">
        <v>10</v>
      </c>
      <c r="H80">
        <v>500</v>
      </c>
      <c r="I80">
        <v>500</v>
      </c>
      <c r="J80">
        <v>38.229999999999997</v>
      </c>
      <c r="K80">
        <v>25.28</v>
      </c>
      <c r="L80" s="1" t="s">
        <v>305</v>
      </c>
      <c r="M80" s="1" t="s">
        <v>306</v>
      </c>
      <c r="N80" t="b">
        <v>0</v>
      </c>
      <c r="O80" s="1" t="s">
        <v>21</v>
      </c>
      <c r="P80" s="1">
        <v>25.749595131536701</v>
      </c>
      <c r="Q80" s="1" t="s">
        <v>307</v>
      </c>
      <c r="S80">
        <f>P80+P81+P82+P83+P84</f>
        <v>127.29026408345462</v>
      </c>
    </row>
    <row r="81" spans="1:19" x14ac:dyDescent="0.2">
      <c r="A81">
        <v>1</v>
      </c>
      <c r="B81">
        <v>1</v>
      </c>
      <c r="C81">
        <v>86</v>
      </c>
      <c r="D81" t="s">
        <v>308</v>
      </c>
      <c r="E81" t="s">
        <v>18</v>
      </c>
      <c r="F81">
        <v>0.995</v>
      </c>
      <c r="G81">
        <v>10</v>
      </c>
      <c r="H81">
        <v>500</v>
      </c>
      <c r="I81">
        <v>500</v>
      </c>
      <c r="J81">
        <v>37.950000000000003</v>
      </c>
      <c r="K81">
        <v>26.77</v>
      </c>
      <c r="L81" s="1" t="s">
        <v>309</v>
      </c>
      <c r="M81" s="1" t="s">
        <v>310</v>
      </c>
      <c r="N81" t="b">
        <v>0</v>
      </c>
      <c r="O81" s="1" t="s">
        <v>21</v>
      </c>
      <c r="P81" s="1">
        <v>27.507423417680801</v>
      </c>
      <c r="Q81" s="1" t="s">
        <v>311</v>
      </c>
    </row>
    <row r="82" spans="1:19" x14ac:dyDescent="0.2">
      <c r="A82">
        <v>1</v>
      </c>
      <c r="B82">
        <v>1</v>
      </c>
      <c r="C82">
        <v>87</v>
      </c>
      <c r="D82" t="s">
        <v>312</v>
      </c>
      <c r="E82" t="s">
        <v>18</v>
      </c>
      <c r="F82">
        <v>0.995</v>
      </c>
      <c r="G82">
        <v>10</v>
      </c>
      <c r="H82">
        <v>500</v>
      </c>
      <c r="I82">
        <v>500</v>
      </c>
      <c r="J82">
        <v>41.08</v>
      </c>
      <c r="K82">
        <v>24.48</v>
      </c>
      <c r="L82">
        <v>0.97107789620021001</v>
      </c>
      <c r="M82" s="1" t="s">
        <v>313</v>
      </c>
      <c r="N82" t="b">
        <v>0</v>
      </c>
      <c r="O82" s="1" t="s">
        <v>21</v>
      </c>
      <c r="P82" s="1">
        <v>23.177763915429502</v>
      </c>
      <c r="Q82" s="1" t="s">
        <v>314</v>
      </c>
    </row>
    <row r="83" spans="1:19" x14ac:dyDescent="0.2">
      <c r="A83">
        <v>1</v>
      </c>
      <c r="B83">
        <v>1</v>
      </c>
      <c r="C83">
        <v>88</v>
      </c>
      <c r="D83" t="s">
        <v>315</v>
      </c>
      <c r="E83" t="s">
        <v>18</v>
      </c>
      <c r="F83">
        <v>0.995</v>
      </c>
      <c r="G83">
        <v>10</v>
      </c>
      <c r="H83">
        <v>500</v>
      </c>
      <c r="I83">
        <v>500</v>
      </c>
      <c r="J83">
        <v>39.44</v>
      </c>
      <c r="K83">
        <v>27.46</v>
      </c>
      <c r="L83" s="1" t="s">
        <v>260</v>
      </c>
      <c r="M83" s="1" t="s">
        <v>316</v>
      </c>
      <c r="N83" t="b">
        <v>0</v>
      </c>
      <c r="O83" s="1" t="s">
        <v>21</v>
      </c>
      <c r="P83">
        <v>27.161089762238099</v>
      </c>
      <c r="Q83" s="1" t="s">
        <v>317</v>
      </c>
    </row>
    <row r="84" spans="1:19" x14ac:dyDescent="0.2">
      <c r="A84">
        <v>1</v>
      </c>
      <c r="B84">
        <v>1</v>
      </c>
      <c r="C84">
        <v>89</v>
      </c>
      <c r="D84" t="s">
        <v>318</v>
      </c>
      <c r="E84" t="s">
        <v>18</v>
      </c>
      <c r="F84">
        <v>0.995</v>
      </c>
      <c r="G84">
        <v>10</v>
      </c>
      <c r="H84">
        <v>500</v>
      </c>
      <c r="I84">
        <v>500</v>
      </c>
      <c r="J84">
        <v>38.58</v>
      </c>
      <c r="K84">
        <v>23.52</v>
      </c>
      <c r="L84" s="1" t="s">
        <v>319</v>
      </c>
      <c r="M84" s="1" t="s">
        <v>320</v>
      </c>
      <c r="N84" t="b">
        <v>0</v>
      </c>
      <c r="O84" s="1" t="s">
        <v>21</v>
      </c>
      <c r="P84" s="1">
        <v>23.694391856569499</v>
      </c>
      <c r="Q84" s="1" t="s">
        <v>321</v>
      </c>
    </row>
    <row r="85" spans="1:19" x14ac:dyDescent="0.2">
      <c r="A85">
        <v>1</v>
      </c>
      <c r="B85">
        <v>1</v>
      </c>
      <c r="C85">
        <v>90</v>
      </c>
      <c r="D85" t="s">
        <v>322</v>
      </c>
      <c r="E85" t="s">
        <v>18</v>
      </c>
      <c r="F85">
        <v>0.995</v>
      </c>
      <c r="G85">
        <v>10</v>
      </c>
      <c r="H85">
        <v>1000</v>
      </c>
      <c r="I85">
        <v>1000</v>
      </c>
      <c r="J85">
        <v>46.59</v>
      </c>
      <c r="K85">
        <v>60.35</v>
      </c>
      <c r="L85" s="1" t="s">
        <v>323</v>
      </c>
      <c r="M85" s="1" t="s">
        <v>324</v>
      </c>
      <c r="N85" t="b">
        <v>0</v>
      </c>
      <c r="O85" s="1" t="s">
        <v>21</v>
      </c>
      <c r="P85" s="1">
        <v>51.120779997537397</v>
      </c>
      <c r="Q85" s="1" t="s">
        <v>325</v>
      </c>
      <c r="S85">
        <f>P85+P86+P87+P88+P89</f>
        <v>240.22864260748912</v>
      </c>
    </row>
    <row r="86" spans="1:19" x14ac:dyDescent="0.2">
      <c r="A86">
        <v>1</v>
      </c>
      <c r="B86">
        <v>1</v>
      </c>
      <c r="C86">
        <v>91</v>
      </c>
      <c r="D86" t="s">
        <v>326</v>
      </c>
      <c r="E86" t="s">
        <v>18</v>
      </c>
      <c r="F86">
        <v>0.995</v>
      </c>
      <c r="G86">
        <v>10</v>
      </c>
      <c r="H86">
        <v>1000</v>
      </c>
      <c r="I86">
        <v>1000</v>
      </c>
      <c r="J86">
        <v>43.81</v>
      </c>
      <c r="K86">
        <v>52.12</v>
      </c>
      <c r="L86" s="1" t="s">
        <v>282</v>
      </c>
      <c r="M86" s="1" t="s">
        <v>327</v>
      </c>
      <c r="N86" t="b">
        <v>0</v>
      </c>
      <c r="O86" s="1" t="s">
        <v>21</v>
      </c>
      <c r="P86" s="1">
        <v>46.887512433512498</v>
      </c>
      <c r="Q86" s="1" t="s">
        <v>328</v>
      </c>
    </row>
    <row r="87" spans="1:19" x14ac:dyDescent="0.2">
      <c r="A87">
        <v>1</v>
      </c>
      <c r="B87">
        <v>1</v>
      </c>
      <c r="C87">
        <v>92</v>
      </c>
      <c r="D87" t="s">
        <v>329</v>
      </c>
      <c r="E87" t="s">
        <v>18</v>
      </c>
      <c r="F87">
        <v>0.995</v>
      </c>
      <c r="G87">
        <v>10</v>
      </c>
      <c r="H87">
        <v>1000</v>
      </c>
      <c r="I87">
        <v>1000</v>
      </c>
      <c r="J87">
        <v>40.92</v>
      </c>
      <c r="K87">
        <v>49.69</v>
      </c>
      <c r="L87" s="1" t="s">
        <v>188</v>
      </c>
      <c r="M87" s="1" t="s">
        <v>330</v>
      </c>
      <c r="N87" t="b">
        <v>0</v>
      </c>
      <c r="O87" s="1" t="s">
        <v>21</v>
      </c>
      <c r="P87" s="1">
        <v>47.845880941783697</v>
      </c>
      <c r="Q87" s="1" t="s">
        <v>331</v>
      </c>
    </row>
    <row r="88" spans="1:19" x14ac:dyDescent="0.2">
      <c r="A88">
        <v>1</v>
      </c>
      <c r="B88">
        <v>1</v>
      </c>
      <c r="C88">
        <v>93</v>
      </c>
      <c r="D88" t="s">
        <v>332</v>
      </c>
      <c r="E88" t="s">
        <v>18</v>
      </c>
      <c r="F88">
        <v>0.995</v>
      </c>
      <c r="G88">
        <v>10</v>
      </c>
      <c r="H88">
        <v>1000</v>
      </c>
      <c r="I88">
        <v>1000</v>
      </c>
      <c r="J88">
        <v>46.76</v>
      </c>
      <c r="K88">
        <v>50.21</v>
      </c>
      <c r="L88" s="1" t="s">
        <v>333</v>
      </c>
      <c r="M88">
        <v>42.810272660506797</v>
      </c>
      <c r="N88" t="b">
        <v>0</v>
      </c>
      <c r="O88" s="1" t="s">
        <v>21</v>
      </c>
      <c r="P88" s="1">
        <v>42.288533843277399</v>
      </c>
      <c r="Q88" s="1" t="s">
        <v>334</v>
      </c>
    </row>
    <row r="89" spans="1:19" x14ac:dyDescent="0.2">
      <c r="A89">
        <v>1</v>
      </c>
      <c r="B89">
        <v>1</v>
      </c>
      <c r="C89">
        <v>94</v>
      </c>
      <c r="D89" t="s">
        <v>335</v>
      </c>
      <c r="E89" t="s">
        <v>18</v>
      </c>
      <c r="F89">
        <v>0.995</v>
      </c>
      <c r="G89">
        <v>10</v>
      </c>
      <c r="H89">
        <v>1000</v>
      </c>
      <c r="I89">
        <v>1000</v>
      </c>
      <c r="J89">
        <v>37.46</v>
      </c>
      <c r="K89">
        <v>49.5</v>
      </c>
      <c r="L89" s="1" t="s">
        <v>336</v>
      </c>
      <c r="M89" s="1" t="s">
        <v>337</v>
      </c>
      <c r="N89" t="b">
        <v>0</v>
      </c>
      <c r="O89" s="1" t="s">
        <v>21</v>
      </c>
      <c r="P89" s="1">
        <v>52.085935391378101</v>
      </c>
      <c r="Q89" s="1" t="s">
        <v>338</v>
      </c>
    </row>
    <row r="90" spans="1:19" x14ac:dyDescent="0.2">
      <c r="A90">
        <v>1</v>
      </c>
      <c r="B90">
        <v>1</v>
      </c>
      <c r="C90">
        <v>95</v>
      </c>
      <c r="D90" t="s">
        <v>339</v>
      </c>
      <c r="E90" t="s">
        <v>18</v>
      </c>
      <c r="F90">
        <v>0.995</v>
      </c>
      <c r="G90">
        <v>10</v>
      </c>
      <c r="H90">
        <v>2000</v>
      </c>
      <c r="I90">
        <v>2000</v>
      </c>
      <c r="J90">
        <v>37.54</v>
      </c>
      <c r="K90">
        <v>99.27</v>
      </c>
      <c r="L90" s="1" t="s">
        <v>340</v>
      </c>
      <c r="M90" s="1" t="s">
        <v>341</v>
      </c>
      <c r="N90" t="b">
        <v>0</v>
      </c>
      <c r="O90" s="1" t="s">
        <v>21</v>
      </c>
      <c r="P90" s="1">
        <v>104.88630810076999</v>
      </c>
      <c r="Q90" s="1" t="s">
        <v>342</v>
      </c>
      <c r="S90">
        <f>P90+P91+P92+P93+P94</f>
        <v>539.26565203534653</v>
      </c>
    </row>
    <row r="91" spans="1:19" x14ac:dyDescent="0.2">
      <c r="A91">
        <v>1</v>
      </c>
      <c r="B91">
        <v>1</v>
      </c>
      <c r="C91">
        <v>96</v>
      </c>
      <c r="D91" t="s">
        <v>343</v>
      </c>
      <c r="E91" t="s">
        <v>18</v>
      </c>
      <c r="F91">
        <v>0.995</v>
      </c>
      <c r="G91">
        <v>10</v>
      </c>
      <c r="H91">
        <v>2000</v>
      </c>
      <c r="I91">
        <v>2000</v>
      </c>
      <c r="J91">
        <v>38.14</v>
      </c>
      <c r="K91">
        <v>97.32</v>
      </c>
      <c r="L91" s="1" t="s">
        <v>344</v>
      </c>
      <c r="M91" s="1" t="s">
        <v>345</v>
      </c>
      <c r="N91" t="b">
        <v>0</v>
      </c>
      <c r="O91" s="1" t="s">
        <v>21</v>
      </c>
      <c r="P91" s="1">
        <v>101.187463424539</v>
      </c>
      <c r="Q91" s="1" t="s">
        <v>346</v>
      </c>
    </row>
    <row r="92" spans="1:19" x14ac:dyDescent="0.2">
      <c r="A92">
        <v>1</v>
      </c>
      <c r="B92">
        <v>1</v>
      </c>
      <c r="C92">
        <v>97</v>
      </c>
      <c r="D92" t="s">
        <v>347</v>
      </c>
      <c r="E92" t="s">
        <v>18</v>
      </c>
      <c r="F92">
        <v>0.995</v>
      </c>
      <c r="G92">
        <v>10</v>
      </c>
      <c r="H92">
        <v>2000</v>
      </c>
      <c r="I92">
        <v>2000</v>
      </c>
      <c r="J92">
        <v>39.69</v>
      </c>
      <c r="K92">
        <v>97.55</v>
      </c>
      <c r="L92" s="1" t="s">
        <v>348</v>
      </c>
      <c r="M92" s="1" t="s">
        <v>349</v>
      </c>
      <c r="N92" t="b">
        <v>0</v>
      </c>
      <c r="O92" s="1" t="s">
        <v>21</v>
      </c>
      <c r="P92" s="1">
        <v>97.447468424156597</v>
      </c>
      <c r="Q92" s="1" t="s">
        <v>350</v>
      </c>
    </row>
    <row r="93" spans="1:19" x14ac:dyDescent="0.2">
      <c r="A93">
        <v>1</v>
      </c>
      <c r="B93">
        <v>1</v>
      </c>
      <c r="C93">
        <v>98</v>
      </c>
      <c r="D93" t="s">
        <v>351</v>
      </c>
      <c r="E93" t="s">
        <v>18</v>
      </c>
      <c r="F93">
        <v>0.995</v>
      </c>
      <c r="G93">
        <v>10</v>
      </c>
      <c r="H93">
        <v>2000</v>
      </c>
      <c r="I93">
        <v>2000</v>
      </c>
      <c r="J93">
        <v>37.619999999999997</v>
      </c>
      <c r="K93">
        <v>114.1</v>
      </c>
      <c r="L93" s="1" t="s">
        <v>352</v>
      </c>
      <c r="M93" s="1" t="s">
        <v>353</v>
      </c>
      <c r="N93" t="b">
        <v>0</v>
      </c>
      <c r="O93" s="1" t="s">
        <v>21</v>
      </c>
      <c r="P93" s="1">
        <v>120.394606144698</v>
      </c>
      <c r="Q93">
        <v>13806.054835286501</v>
      </c>
    </row>
    <row r="94" spans="1:19" x14ac:dyDescent="0.2">
      <c r="A94">
        <v>1</v>
      </c>
      <c r="B94">
        <v>1</v>
      </c>
      <c r="C94">
        <v>99</v>
      </c>
      <c r="D94" t="s">
        <v>354</v>
      </c>
      <c r="E94" t="s">
        <v>18</v>
      </c>
      <c r="F94">
        <v>0.995</v>
      </c>
      <c r="G94">
        <v>10</v>
      </c>
      <c r="H94">
        <v>2000</v>
      </c>
      <c r="I94">
        <v>2000</v>
      </c>
      <c r="J94">
        <v>37.880000000000003</v>
      </c>
      <c r="K94">
        <v>110.1</v>
      </c>
      <c r="L94" s="1" t="s">
        <v>355</v>
      </c>
      <c r="M94" s="1" t="s">
        <v>356</v>
      </c>
      <c r="N94" t="b">
        <v>0</v>
      </c>
      <c r="O94" s="1" t="s">
        <v>21</v>
      </c>
      <c r="P94" s="1">
        <v>115.34980594118301</v>
      </c>
      <c r="Q94" s="1" t="s">
        <v>357</v>
      </c>
    </row>
    <row r="95" spans="1:19" x14ac:dyDescent="0.2">
      <c r="A95">
        <v>1</v>
      </c>
      <c r="B95">
        <v>1</v>
      </c>
      <c r="C95">
        <v>100</v>
      </c>
      <c r="D95" t="s">
        <v>358</v>
      </c>
      <c r="E95" t="s">
        <v>18</v>
      </c>
      <c r="F95">
        <v>0.995</v>
      </c>
      <c r="G95">
        <v>10</v>
      </c>
      <c r="H95">
        <v>3000</v>
      </c>
      <c r="I95">
        <v>3000</v>
      </c>
      <c r="J95">
        <v>38.590000000000003</v>
      </c>
      <c r="K95">
        <v>146.19999999999999</v>
      </c>
      <c r="L95" s="1" t="s">
        <v>359</v>
      </c>
      <c r="M95" s="1" t="s">
        <v>360</v>
      </c>
      <c r="N95" t="b">
        <v>0</v>
      </c>
      <c r="O95" s="1" t="s">
        <v>21</v>
      </c>
      <c r="P95" s="1">
        <v>150.546125174037</v>
      </c>
      <c r="Q95" s="1" t="s">
        <v>361</v>
      </c>
      <c r="S95">
        <f>P95+P96+P97+P98+P99</f>
        <v>739.96414264214297</v>
      </c>
    </row>
    <row r="96" spans="1:19" x14ac:dyDescent="0.2">
      <c r="A96">
        <v>1</v>
      </c>
      <c r="B96">
        <v>1</v>
      </c>
      <c r="C96">
        <v>101</v>
      </c>
      <c r="D96" t="s">
        <v>362</v>
      </c>
      <c r="E96" t="s">
        <v>18</v>
      </c>
      <c r="F96">
        <v>0.995</v>
      </c>
      <c r="G96">
        <v>10</v>
      </c>
      <c r="H96">
        <v>3000</v>
      </c>
      <c r="I96">
        <v>3000</v>
      </c>
      <c r="J96">
        <v>41.49</v>
      </c>
      <c r="K96">
        <v>152</v>
      </c>
      <c r="L96" s="1" t="s">
        <v>363</v>
      </c>
      <c r="M96" s="1" t="s">
        <v>364</v>
      </c>
      <c r="N96" t="b">
        <v>0</v>
      </c>
      <c r="O96" s="1" t="s">
        <v>21</v>
      </c>
      <c r="P96" s="1">
        <v>145.55000417366</v>
      </c>
      <c r="Q96" s="1" t="s">
        <v>365</v>
      </c>
    </row>
    <row r="97" spans="1:22" x14ac:dyDescent="0.2">
      <c r="A97">
        <v>1</v>
      </c>
      <c r="B97">
        <v>1</v>
      </c>
      <c r="C97">
        <v>102</v>
      </c>
      <c r="D97" t="s">
        <v>366</v>
      </c>
      <c r="E97" t="s">
        <v>18</v>
      </c>
      <c r="F97">
        <v>0.995</v>
      </c>
      <c r="G97">
        <v>10</v>
      </c>
      <c r="H97">
        <v>3000</v>
      </c>
      <c r="I97">
        <v>3000</v>
      </c>
      <c r="J97">
        <v>45.95</v>
      </c>
      <c r="K97">
        <v>151.9</v>
      </c>
      <c r="L97" s="1" t="s">
        <v>367</v>
      </c>
      <c r="M97" s="1" t="s">
        <v>368</v>
      </c>
      <c r="N97" t="b">
        <v>0</v>
      </c>
      <c r="O97" s="1" t="s">
        <v>21</v>
      </c>
      <c r="P97" s="1">
        <v>131.27548047392</v>
      </c>
      <c r="Q97" s="1" t="s">
        <v>369</v>
      </c>
    </row>
    <row r="98" spans="1:22" x14ac:dyDescent="0.2">
      <c r="A98">
        <v>1</v>
      </c>
      <c r="B98">
        <v>1</v>
      </c>
      <c r="C98">
        <v>103</v>
      </c>
      <c r="D98" t="s">
        <v>370</v>
      </c>
      <c r="E98" t="s">
        <v>18</v>
      </c>
      <c r="F98">
        <v>0.995</v>
      </c>
      <c r="G98">
        <v>10</v>
      </c>
      <c r="H98">
        <v>3000</v>
      </c>
      <c r="I98">
        <v>3000</v>
      </c>
      <c r="J98">
        <v>37.56</v>
      </c>
      <c r="K98">
        <v>156.80000000000001</v>
      </c>
      <c r="L98" s="1" t="s">
        <v>371</v>
      </c>
      <c r="M98" s="1" t="s">
        <v>372</v>
      </c>
      <c r="N98" t="b">
        <v>0</v>
      </c>
      <c r="O98" s="1" t="s">
        <v>21</v>
      </c>
      <c r="P98" s="1">
        <v>165.959264453478</v>
      </c>
      <c r="Q98" s="1" t="s">
        <v>373</v>
      </c>
    </row>
    <row r="99" spans="1:22" x14ac:dyDescent="0.2">
      <c r="A99">
        <v>1</v>
      </c>
      <c r="B99">
        <v>1</v>
      </c>
      <c r="C99">
        <v>104</v>
      </c>
      <c r="D99" t="s">
        <v>374</v>
      </c>
      <c r="E99" t="s">
        <v>18</v>
      </c>
      <c r="F99">
        <v>0.995</v>
      </c>
      <c r="G99">
        <v>10</v>
      </c>
      <c r="H99">
        <v>3000</v>
      </c>
      <c r="I99">
        <v>3000</v>
      </c>
      <c r="J99">
        <v>37.99</v>
      </c>
      <c r="K99">
        <v>140.19999999999999</v>
      </c>
      <c r="L99" s="1" t="s">
        <v>375</v>
      </c>
      <c r="M99" s="1" t="s">
        <v>376</v>
      </c>
      <c r="N99" t="b">
        <v>0</v>
      </c>
      <c r="O99" s="1" t="s">
        <v>21</v>
      </c>
      <c r="P99" s="1">
        <v>146.633268367048</v>
      </c>
      <c r="Q99" s="1" t="s">
        <v>377</v>
      </c>
    </row>
    <row r="100" spans="1:22" x14ac:dyDescent="0.2">
      <c r="A100">
        <v>1</v>
      </c>
      <c r="B100">
        <v>1</v>
      </c>
      <c r="C100">
        <v>105</v>
      </c>
      <c r="D100" t="s">
        <v>378</v>
      </c>
      <c r="E100" t="s">
        <v>18</v>
      </c>
      <c r="F100">
        <v>0.995</v>
      </c>
      <c r="G100">
        <v>10</v>
      </c>
      <c r="H100">
        <v>5000</v>
      </c>
      <c r="I100">
        <v>5000</v>
      </c>
      <c r="J100">
        <v>37.25</v>
      </c>
      <c r="K100">
        <v>246.7</v>
      </c>
      <c r="L100" s="1" t="s">
        <v>379</v>
      </c>
      <c r="M100" s="1" t="s">
        <v>380</v>
      </c>
      <c r="N100" t="b">
        <v>0</v>
      </c>
      <c r="O100" s="1" t="s">
        <v>21</v>
      </c>
      <c r="P100" s="1">
        <v>263.671029498633</v>
      </c>
      <c r="Q100" s="1" t="s">
        <v>381</v>
      </c>
      <c r="S100">
        <f>P100+P101+P102+P103</f>
        <v>1027.86826751583</v>
      </c>
    </row>
    <row r="101" spans="1:22" x14ac:dyDescent="0.2">
      <c r="A101">
        <v>1</v>
      </c>
      <c r="B101">
        <v>1</v>
      </c>
      <c r="C101">
        <v>106</v>
      </c>
      <c r="D101" t="s">
        <v>382</v>
      </c>
      <c r="E101" t="s">
        <v>18</v>
      </c>
      <c r="F101">
        <v>0.995</v>
      </c>
      <c r="G101">
        <v>10</v>
      </c>
      <c r="H101">
        <v>5000</v>
      </c>
      <c r="I101">
        <v>5000</v>
      </c>
      <c r="J101">
        <v>39.409999999999997</v>
      </c>
      <c r="K101">
        <v>250.8</v>
      </c>
      <c r="L101" s="1" t="s">
        <v>383</v>
      </c>
      <c r="M101" s="1" t="s">
        <v>384</v>
      </c>
      <c r="N101" t="b">
        <v>0</v>
      </c>
      <c r="O101" s="1" t="s">
        <v>21</v>
      </c>
      <c r="P101" s="1">
        <v>253.29855090610201</v>
      </c>
      <c r="Q101" s="1" t="s">
        <v>385</v>
      </c>
    </row>
    <row r="102" spans="1:22" x14ac:dyDescent="0.2">
      <c r="A102">
        <v>1</v>
      </c>
      <c r="B102">
        <v>1</v>
      </c>
      <c r="C102">
        <v>107</v>
      </c>
      <c r="D102" t="s">
        <v>386</v>
      </c>
      <c r="E102" t="s">
        <v>18</v>
      </c>
      <c r="F102">
        <v>0.995</v>
      </c>
      <c r="G102">
        <v>10</v>
      </c>
      <c r="H102">
        <v>5000</v>
      </c>
      <c r="I102">
        <v>5000</v>
      </c>
      <c r="J102">
        <v>37.340000000000003</v>
      </c>
      <c r="K102">
        <v>269.2</v>
      </c>
      <c r="L102" s="1" t="s">
        <v>387</v>
      </c>
      <c r="M102" s="1" t="s">
        <v>388</v>
      </c>
      <c r="N102" t="b">
        <v>0</v>
      </c>
      <c r="O102" s="1" t="s">
        <v>21</v>
      </c>
      <c r="P102" s="1">
        <v>287.081371001234</v>
      </c>
      <c r="Q102" s="1" t="s">
        <v>389</v>
      </c>
    </row>
    <row r="103" spans="1:22" x14ac:dyDescent="0.2">
      <c r="A103">
        <v>1</v>
      </c>
      <c r="B103">
        <v>1</v>
      </c>
      <c r="C103">
        <v>108</v>
      </c>
      <c r="D103" t="s">
        <v>390</v>
      </c>
      <c r="E103" t="s">
        <v>18</v>
      </c>
      <c r="F103">
        <v>0.995</v>
      </c>
      <c r="G103">
        <v>10</v>
      </c>
      <c r="H103">
        <v>5000</v>
      </c>
      <c r="I103">
        <v>5000</v>
      </c>
      <c r="J103">
        <v>45.48</v>
      </c>
      <c r="K103">
        <v>255.9</v>
      </c>
      <c r="L103" s="1" t="s">
        <v>391</v>
      </c>
      <c r="M103" s="1" t="s">
        <v>392</v>
      </c>
      <c r="N103" t="b">
        <v>0</v>
      </c>
      <c r="O103" s="1" t="s">
        <v>21</v>
      </c>
      <c r="P103" s="1">
        <v>223.817316109861</v>
      </c>
      <c r="Q103" s="1" t="s">
        <v>393</v>
      </c>
    </row>
    <row r="104" spans="1:22" x14ac:dyDescent="0.2">
      <c r="A104">
        <v>1</v>
      </c>
      <c r="B104">
        <v>1</v>
      </c>
      <c r="C104">
        <v>110</v>
      </c>
      <c r="D104" t="s">
        <v>394</v>
      </c>
      <c r="E104" t="s">
        <v>18</v>
      </c>
      <c r="F104">
        <v>0.995</v>
      </c>
      <c r="G104">
        <v>10</v>
      </c>
      <c r="H104">
        <v>0</v>
      </c>
      <c r="I104">
        <v>0</v>
      </c>
      <c r="J104">
        <v>38.82</v>
      </c>
      <c r="K104">
        <v>0.56040000000000001</v>
      </c>
      <c r="L104" s="1" t="s">
        <v>395</v>
      </c>
      <c r="M104" s="1" t="s">
        <v>396</v>
      </c>
      <c r="N104" t="b">
        <v>1</v>
      </c>
      <c r="O104" s="1" t="s">
        <v>21</v>
      </c>
      <c r="P104">
        <v>5.29583E-2</v>
      </c>
      <c r="Q104">
        <v>2.9826992662204701E-2</v>
      </c>
      <c r="S104">
        <f>P104+P105+P106+P107+P108</f>
        <v>0.29073782847123142</v>
      </c>
    </row>
    <row r="105" spans="1:22" x14ac:dyDescent="0.2">
      <c r="A105">
        <v>1</v>
      </c>
      <c r="B105">
        <v>1</v>
      </c>
      <c r="C105">
        <v>111</v>
      </c>
      <c r="D105" t="s">
        <v>397</v>
      </c>
      <c r="E105" t="s">
        <v>18</v>
      </c>
      <c r="F105">
        <v>0.995</v>
      </c>
      <c r="G105">
        <v>10</v>
      </c>
      <c r="H105">
        <v>0</v>
      </c>
      <c r="I105">
        <v>0</v>
      </c>
      <c r="J105">
        <v>39.909999999999997</v>
      </c>
      <c r="K105">
        <v>0.53310000000000002</v>
      </c>
      <c r="L105" s="1" t="s">
        <v>398</v>
      </c>
      <c r="M105">
        <v>0.53293268115044801</v>
      </c>
      <c r="N105" t="b">
        <v>1</v>
      </c>
      <c r="O105" s="1" t="s">
        <v>21</v>
      </c>
      <c r="P105">
        <v>7.8796288232187095E-2</v>
      </c>
      <c r="Q105">
        <v>4.2217388197566701E-2</v>
      </c>
    </row>
    <row r="106" spans="1:22" x14ac:dyDescent="0.2">
      <c r="A106">
        <v>1</v>
      </c>
      <c r="B106">
        <v>1</v>
      </c>
      <c r="C106">
        <v>112</v>
      </c>
      <c r="D106" t="s">
        <v>399</v>
      </c>
      <c r="E106" t="s">
        <v>18</v>
      </c>
      <c r="F106">
        <v>0.995</v>
      </c>
      <c r="G106">
        <v>10</v>
      </c>
      <c r="H106">
        <v>0</v>
      </c>
      <c r="I106">
        <v>0</v>
      </c>
      <c r="J106">
        <v>37.54</v>
      </c>
      <c r="K106">
        <v>0.53269999999999995</v>
      </c>
      <c r="L106" s="1" t="s">
        <v>340</v>
      </c>
      <c r="M106" s="1" t="s">
        <v>400</v>
      </c>
      <c r="N106" t="b">
        <v>1</v>
      </c>
      <c r="O106" s="1" t="s">
        <v>21</v>
      </c>
      <c r="P106">
        <v>8.4222205963724095E-2</v>
      </c>
      <c r="Q106">
        <v>4.5090622228015902E-2</v>
      </c>
    </row>
    <row r="107" spans="1:22" x14ac:dyDescent="0.2">
      <c r="A107">
        <v>1</v>
      </c>
      <c r="B107">
        <v>1</v>
      </c>
      <c r="C107">
        <v>113</v>
      </c>
      <c r="D107" t="s">
        <v>401</v>
      </c>
      <c r="E107" t="s">
        <v>18</v>
      </c>
      <c r="F107">
        <v>0.995</v>
      </c>
      <c r="G107">
        <v>10</v>
      </c>
      <c r="H107">
        <v>0</v>
      </c>
      <c r="I107">
        <v>0</v>
      </c>
      <c r="J107">
        <v>37.18</v>
      </c>
      <c r="K107">
        <v>0.67630000000000001</v>
      </c>
      <c r="L107" s="1" t="s">
        <v>402</v>
      </c>
      <c r="M107">
        <v>0.72599299895398295</v>
      </c>
      <c r="N107" t="b">
        <v>1</v>
      </c>
      <c r="O107" s="1" t="s">
        <v>21</v>
      </c>
      <c r="P107">
        <v>6.9109394749487602E-2</v>
      </c>
      <c r="Q107">
        <v>4.6973551426209501E-2</v>
      </c>
    </row>
    <row r="108" spans="1:22" x14ac:dyDescent="0.2">
      <c r="A108">
        <v>1</v>
      </c>
      <c r="B108">
        <v>1</v>
      </c>
      <c r="C108">
        <v>114</v>
      </c>
      <c r="D108" t="s">
        <v>403</v>
      </c>
      <c r="E108" t="s">
        <v>18</v>
      </c>
      <c r="F108">
        <v>0.995</v>
      </c>
      <c r="G108">
        <v>10</v>
      </c>
      <c r="H108">
        <v>0</v>
      </c>
      <c r="I108">
        <v>0</v>
      </c>
      <c r="J108">
        <v>38.979999999999997</v>
      </c>
      <c r="K108">
        <v>0.60640000000000005</v>
      </c>
      <c r="L108" s="1" t="s">
        <v>404</v>
      </c>
      <c r="M108" s="1" t="s">
        <v>405</v>
      </c>
      <c r="N108" t="b">
        <v>1</v>
      </c>
      <c r="O108" s="1" t="s">
        <v>21</v>
      </c>
      <c r="P108">
        <v>5.6516395258325702E-3</v>
      </c>
      <c r="Q108">
        <v>3.4443760889094201E-3</v>
      </c>
    </row>
    <row r="109" spans="1:22" x14ac:dyDescent="0.2">
      <c r="A109">
        <v>1</v>
      </c>
      <c r="B109">
        <v>1</v>
      </c>
      <c r="C109">
        <v>115</v>
      </c>
      <c r="D109" t="s">
        <v>406</v>
      </c>
      <c r="E109" t="s">
        <v>407</v>
      </c>
      <c r="F109">
        <v>0.995</v>
      </c>
      <c r="G109">
        <v>6</v>
      </c>
      <c r="H109">
        <v>200</v>
      </c>
      <c r="I109">
        <v>600</v>
      </c>
      <c r="J109">
        <v>37.630000000000003</v>
      </c>
      <c r="K109">
        <v>9.4939999999999998</v>
      </c>
      <c r="L109" s="1" t="s">
        <v>408</v>
      </c>
      <c r="M109" s="1" t="s">
        <v>409</v>
      </c>
      <c r="N109" t="b">
        <v>0</v>
      </c>
      <c r="O109" s="1" t="s">
        <v>21</v>
      </c>
      <c r="P109" s="1">
        <v>9.42009723834345</v>
      </c>
      <c r="Q109" s="1" t="s">
        <v>410</v>
      </c>
      <c r="S109">
        <f>P109+P110+P111+P112+P113</f>
        <v>48.270886981946603</v>
      </c>
      <c r="T109">
        <v>600</v>
      </c>
      <c r="U109">
        <f>S109/5</f>
        <v>9.6541773963893203</v>
      </c>
      <c r="V109">
        <f>_xlfn.STDEV.S(P109:P113)</f>
        <v>0.21575385434014263</v>
      </c>
    </row>
    <row r="110" spans="1:22" x14ac:dyDescent="0.2">
      <c r="A110">
        <v>1</v>
      </c>
      <c r="B110">
        <v>1</v>
      </c>
      <c r="C110">
        <v>116</v>
      </c>
      <c r="D110" t="s">
        <v>411</v>
      </c>
      <c r="E110" t="s">
        <v>407</v>
      </c>
      <c r="F110">
        <v>0.995</v>
      </c>
      <c r="G110">
        <v>6</v>
      </c>
      <c r="H110">
        <v>200</v>
      </c>
      <c r="I110">
        <v>600</v>
      </c>
      <c r="J110">
        <v>36.799999999999997</v>
      </c>
      <c r="K110">
        <v>9.3130000000000006</v>
      </c>
      <c r="L110" s="1" t="s">
        <v>412</v>
      </c>
      <c r="M110" s="1" t="s">
        <v>413</v>
      </c>
      <c r="N110" t="b">
        <v>0</v>
      </c>
      <c r="O110" s="1" t="s">
        <v>21</v>
      </c>
      <c r="P110">
        <v>9.4373797840415001</v>
      </c>
      <c r="Q110" s="1" t="s">
        <v>414</v>
      </c>
      <c r="S110">
        <f>S109/5</f>
        <v>9.6541773963893203</v>
      </c>
      <c r="T110">
        <v>500</v>
      </c>
      <c r="U110">
        <f>S114/5</f>
        <v>9.1686961563696521</v>
      </c>
      <c r="V110">
        <f>_xlfn.STDEV.S(P114:P118)</f>
        <v>0.65862978983168496</v>
      </c>
    </row>
    <row r="111" spans="1:22" x14ac:dyDescent="0.2">
      <c r="A111">
        <v>1</v>
      </c>
      <c r="B111">
        <v>1</v>
      </c>
      <c r="C111">
        <v>117</v>
      </c>
      <c r="D111" t="s">
        <v>415</v>
      </c>
      <c r="E111" t="s">
        <v>407</v>
      </c>
      <c r="F111">
        <v>0.995</v>
      </c>
      <c r="G111">
        <v>6</v>
      </c>
      <c r="H111">
        <v>200</v>
      </c>
      <c r="I111">
        <v>600</v>
      </c>
      <c r="J111">
        <v>37.69</v>
      </c>
      <c r="K111">
        <v>9.9689999999999994</v>
      </c>
      <c r="L111" s="1" t="s">
        <v>416</v>
      </c>
      <c r="M111" s="1" t="s">
        <v>417</v>
      </c>
      <c r="N111" t="b">
        <v>0</v>
      </c>
      <c r="O111" s="1" t="s">
        <v>21</v>
      </c>
      <c r="P111" s="1">
        <v>9.9079890977036307</v>
      </c>
      <c r="Q111" s="1" t="s">
        <v>418</v>
      </c>
      <c r="T111">
        <v>400</v>
      </c>
      <c r="U111">
        <f>S119/5</f>
        <v>9.5291933258547576</v>
      </c>
      <c r="V111">
        <f>_xlfn.STDEV.S(P119:P123)</f>
        <v>0.21156842560150038</v>
      </c>
    </row>
    <row r="112" spans="1:22" x14ac:dyDescent="0.2">
      <c r="A112">
        <v>1</v>
      </c>
      <c r="B112">
        <v>1</v>
      </c>
      <c r="C112">
        <v>118</v>
      </c>
      <c r="D112" t="s">
        <v>419</v>
      </c>
      <c r="E112" t="s">
        <v>407</v>
      </c>
      <c r="F112">
        <v>0.995</v>
      </c>
      <c r="G112">
        <v>6</v>
      </c>
      <c r="H112">
        <v>200</v>
      </c>
      <c r="I112">
        <v>600</v>
      </c>
      <c r="J112">
        <v>37.880000000000003</v>
      </c>
      <c r="K112">
        <v>9.8849999999999998</v>
      </c>
      <c r="L112" s="1" t="s">
        <v>355</v>
      </c>
      <c r="M112" s="1" t="s">
        <v>420</v>
      </c>
      <c r="N112" t="b">
        <v>0</v>
      </c>
      <c r="O112" s="1" t="s">
        <v>21</v>
      </c>
      <c r="P112" s="1">
        <v>9.7695371956915693</v>
      </c>
      <c r="Q112" s="1" t="s">
        <v>421</v>
      </c>
      <c r="T112">
        <v>300</v>
      </c>
      <c r="U112">
        <f>S124/5</f>
        <v>9.0269590195963669</v>
      </c>
      <c r="V112">
        <f>_xlfn.STDEV.S(P124:P128)</f>
        <v>0.66696453110778653</v>
      </c>
    </row>
    <row r="113" spans="1:22" x14ac:dyDescent="0.2">
      <c r="A113">
        <v>1</v>
      </c>
      <c r="B113">
        <v>1</v>
      </c>
      <c r="C113">
        <v>119</v>
      </c>
      <c r="D113" t="s">
        <v>422</v>
      </c>
      <c r="E113" t="s">
        <v>407</v>
      </c>
      <c r="F113">
        <v>0.995</v>
      </c>
      <c r="G113">
        <v>6</v>
      </c>
      <c r="H113">
        <v>200</v>
      </c>
      <c r="I113">
        <v>600</v>
      </c>
      <c r="J113">
        <v>38.520000000000003</v>
      </c>
      <c r="K113">
        <v>10.01</v>
      </c>
      <c r="L113">
        <v>1.03594401517049</v>
      </c>
      <c r="M113" s="1" t="s">
        <v>423</v>
      </c>
      <c r="N113" t="b">
        <v>0</v>
      </c>
      <c r="O113" s="1" t="s">
        <v>21</v>
      </c>
      <c r="P113" s="1">
        <v>9.7358836661664601</v>
      </c>
      <c r="Q113" s="1" t="s">
        <v>424</v>
      </c>
      <c r="T113">
        <v>200</v>
      </c>
      <c r="U113">
        <f>S129/5</f>
        <v>9.4095423008613661</v>
      </c>
      <c r="V113">
        <f>_xlfn.STDEV.S(P129:P133)</f>
        <v>0.45604320200322879</v>
      </c>
    </row>
    <row r="114" spans="1:22" x14ac:dyDescent="0.2">
      <c r="A114">
        <v>1</v>
      </c>
      <c r="B114">
        <v>1</v>
      </c>
      <c r="C114">
        <v>120</v>
      </c>
      <c r="D114" t="s">
        <v>425</v>
      </c>
      <c r="E114" t="s">
        <v>407</v>
      </c>
      <c r="F114">
        <v>0.995</v>
      </c>
      <c r="G114">
        <v>6</v>
      </c>
      <c r="H114">
        <v>200</v>
      </c>
      <c r="I114">
        <v>500</v>
      </c>
      <c r="J114">
        <v>39.33</v>
      </c>
      <c r="K114">
        <v>10.47</v>
      </c>
      <c r="L114" s="1" t="s">
        <v>426</v>
      </c>
      <c r="M114" s="1" t="s">
        <v>427</v>
      </c>
      <c r="N114" t="b">
        <v>0</v>
      </c>
      <c r="O114" s="1" t="s">
        <v>21</v>
      </c>
      <c r="P114" s="1">
        <v>10.0010426418244</v>
      </c>
      <c r="Q114" s="1" t="s">
        <v>428</v>
      </c>
      <c r="S114">
        <f>P114+P115+P116+P117+P118</f>
        <v>45.843480781848257</v>
      </c>
      <c r="T114">
        <v>100</v>
      </c>
      <c r="U114">
        <f>S134/5</f>
        <v>9.8003279739590994</v>
      </c>
      <c r="V114">
        <f>_xlfn.STDEV.S(P134:P138)</f>
        <v>0.31115885936576149</v>
      </c>
    </row>
    <row r="115" spans="1:22" x14ac:dyDescent="0.2">
      <c r="A115">
        <v>1</v>
      </c>
      <c r="B115">
        <v>1</v>
      </c>
      <c r="C115">
        <v>122</v>
      </c>
      <c r="D115" t="s">
        <v>429</v>
      </c>
      <c r="E115" t="s">
        <v>407</v>
      </c>
      <c r="F115">
        <v>0.995</v>
      </c>
      <c r="G115">
        <v>6</v>
      </c>
      <c r="H115">
        <v>200</v>
      </c>
      <c r="I115">
        <v>500</v>
      </c>
      <c r="J115">
        <v>45.33</v>
      </c>
      <c r="K115">
        <v>10.01</v>
      </c>
      <c r="L115" s="1" t="s">
        <v>430</v>
      </c>
      <c r="M115">
        <v>8.8051785730222907</v>
      </c>
      <c r="N115" t="b">
        <v>0</v>
      </c>
      <c r="O115" s="1" t="s">
        <v>21</v>
      </c>
      <c r="P115" s="1">
        <v>8.2669094506018492</v>
      </c>
      <c r="Q115" s="1" t="s">
        <v>431</v>
      </c>
      <c r="S115">
        <f>S114/5</f>
        <v>9.1686961563696521</v>
      </c>
      <c r="T115">
        <v>80</v>
      </c>
      <c r="U115">
        <f>S139/5</f>
        <v>9.4448247976359117</v>
      </c>
      <c r="V115">
        <f>_xlfn.STDEV.S(P139:P143)</f>
        <v>0.3656288484491958</v>
      </c>
    </row>
    <row r="116" spans="1:22" x14ac:dyDescent="0.2">
      <c r="A116">
        <v>1</v>
      </c>
      <c r="B116">
        <v>1</v>
      </c>
      <c r="C116">
        <v>123</v>
      </c>
      <c r="D116" t="s">
        <v>432</v>
      </c>
      <c r="E116" t="s">
        <v>407</v>
      </c>
      <c r="F116">
        <v>0.995</v>
      </c>
      <c r="G116">
        <v>6</v>
      </c>
      <c r="H116">
        <v>200</v>
      </c>
      <c r="I116">
        <v>500</v>
      </c>
      <c r="J116">
        <v>37.97</v>
      </c>
      <c r="K116">
        <v>9.6489999999999991</v>
      </c>
      <c r="L116" s="1" t="s">
        <v>433</v>
      </c>
      <c r="M116" s="1" t="s">
        <v>434</v>
      </c>
      <c r="N116" t="b">
        <v>0</v>
      </c>
      <c r="O116" s="1" t="s">
        <v>21</v>
      </c>
      <c r="P116" s="1">
        <v>9.49821818856317</v>
      </c>
      <c r="Q116" s="1" t="s">
        <v>435</v>
      </c>
      <c r="T116">
        <v>60</v>
      </c>
      <c r="U116">
        <f>S144/5</f>
        <v>9.0491563990778889</v>
      </c>
      <c r="V116">
        <f>_xlfn.STDEV.S(P144:P148)</f>
        <v>0.64371780101067388</v>
      </c>
    </row>
    <row r="117" spans="1:22" x14ac:dyDescent="0.2">
      <c r="A117">
        <v>1</v>
      </c>
      <c r="B117">
        <v>1</v>
      </c>
      <c r="C117">
        <v>124</v>
      </c>
      <c r="D117" t="s">
        <v>436</v>
      </c>
      <c r="E117" t="s">
        <v>407</v>
      </c>
      <c r="F117">
        <v>0.995</v>
      </c>
      <c r="G117">
        <v>6</v>
      </c>
      <c r="H117">
        <v>200</v>
      </c>
      <c r="I117">
        <v>500</v>
      </c>
      <c r="J117">
        <v>40.04</v>
      </c>
      <c r="K117">
        <v>9.4740000000000002</v>
      </c>
      <c r="L117">
        <v>0.99642447745820695</v>
      </c>
      <c r="M117" s="1" t="s">
        <v>437</v>
      </c>
      <c r="N117" t="b">
        <v>0</v>
      </c>
      <c r="O117" s="1" t="s">
        <v>21</v>
      </c>
      <c r="P117" s="1">
        <v>8.8303924098528501</v>
      </c>
      <c r="Q117" s="1" t="s">
        <v>438</v>
      </c>
      <c r="T117">
        <v>0</v>
      </c>
      <c r="U117">
        <f>S149/5</f>
        <v>0.11941854660095483</v>
      </c>
      <c r="V117">
        <f>_xlfn.STDEV.S(P149:P153)</f>
        <v>8.4074381156100886E-2</v>
      </c>
    </row>
    <row r="118" spans="1:22" x14ac:dyDescent="0.2">
      <c r="A118">
        <v>1</v>
      </c>
      <c r="B118">
        <v>1</v>
      </c>
      <c r="C118">
        <v>125</v>
      </c>
      <c r="D118" t="s">
        <v>439</v>
      </c>
      <c r="E118" t="s">
        <v>407</v>
      </c>
      <c r="F118">
        <v>0.995</v>
      </c>
      <c r="G118">
        <v>6</v>
      </c>
      <c r="H118">
        <v>200</v>
      </c>
      <c r="I118">
        <v>500</v>
      </c>
      <c r="J118">
        <v>38.520000000000003</v>
      </c>
      <c r="K118">
        <v>9.5380000000000003</v>
      </c>
      <c r="L118">
        <v>1.03594401517049</v>
      </c>
      <c r="M118" s="1" t="s">
        <v>440</v>
      </c>
      <c r="N118" t="b">
        <v>0</v>
      </c>
      <c r="O118" s="1" t="s">
        <v>21</v>
      </c>
      <c r="P118" s="1">
        <v>9.2469180910059894</v>
      </c>
      <c r="Q118" s="1" t="s">
        <v>441</v>
      </c>
    </row>
    <row r="119" spans="1:22" x14ac:dyDescent="0.2">
      <c r="A119">
        <v>1</v>
      </c>
      <c r="B119">
        <v>1</v>
      </c>
      <c r="C119">
        <v>126</v>
      </c>
      <c r="D119" t="s">
        <v>442</v>
      </c>
      <c r="E119" t="s">
        <v>407</v>
      </c>
      <c r="F119">
        <v>0.995</v>
      </c>
      <c r="G119">
        <v>6</v>
      </c>
      <c r="H119">
        <v>200</v>
      </c>
      <c r="I119">
        <v>400</v>
      </c>
      <c r="J119">
        <v>37.6</v>
      </c>
      <c r="K119">
        <v>9.8079999999999998</v>
      </c>
      <c r="L119" s="1" t="s">
        <v>235</v>
      </c>
      <c r="M119" s="1" t="s">
        <v>443</v>
      </c>
      <c r="N119" t="b">
        <v>0</v>
      </c>
      <c r="O119" s="1" t="s">
        <v>21</v>
      </c>
      <c r="P119" s="1">
        <v>9.7609397270343301</v>
      </c>
      <c r="Q119" s="1" t="s">
        <v>444</v>
      </c>
      <c r="S119">
        <f>P119+P120+P121+P122+P123</f>
        <v>47.645966629273786</v>
      </c>
    </row>
    <row r="120" spans="1:22" x14ac:dyDescent="0.2">
      <c r="A120">
        <v>1</v>
      </c>
      <c r="B120">
        <v>1</v>
      </c>
      <c r="C120">
        <v>127</v>
      </c>
      <c r="D120" t="s">
        <v>445</v>
      </c>
      <c r="E120" t="s">
        <v>407</v>
      </c>
      <c r="F120">
        <v>0.995</v>
      </c>
      <c r="G120">
        <v>6</v>
      </c>
      <c r="H120">
        <v>200</v>
      </c>
      <c r="I120">
        <v>400</v>
      </c>
      <c r="J120">
        <v>40.630000000000003</v>
      </c>
      <c r="K120">
        <v>10.29</v>
      </c>
      <c r="L120" s="1" t="s">
        <v>446</v>
      </c>
      <c r="M120" s="1" t="s">
        <v>447</v>
      </c>
      <c r="N120" t="b">
        <v>0</v>
      </c>
      <c r="O120" s="1" t="s">
        <v>21</v>
      </c>
      <c r="P120" s="1">
        <v>9.5027619067650804</v>
      </c>
      <c r="Q120" s="1" t="s">
        <v>448</v>
      </c>
      <c r="S120">
        <f>S119/5</f>
        <v>9.5291933258547576</v>
      </c>
    </row>
    <row r="121" spans="1:22" x14ac:dyDescent="0.2">
      <c r="A121">
        <v>1</v>
      </c>
      <c r="B121">
        <v>1</v>
      </c>
      <c r="C121">
        <v>128</v>
      </c>
      <c r="D121" t="s">
        <v>449</v>
      </c>
      <c r="E121" t="s">
        <v>407</v>
      </c>
      <c r="F121">
        <v>0.995</v>
      </c>
      <c r="G121">
        <v>6</v>
      </c>
      <c r="H121">
        <v>200</v>
      </c>
      <c r="I121">
        <v>400</v>
      </c>
      <c r="J121">
        <v>39.82</v>
      </c>
      <c r="K121">
        <v>9.7850000000000001</v>
      </c>
      <c r="L121" s="1" t="s">
        <v>450</v>
      </c>
      <c r="M121" s="1" t="s">
        <v>451</v>
      </c>
      <c r="N121" t="b">
        <v>0</v>
      </c>
      <c r="O121" s="1" t="s">
        <v>21</v>
      </c>
      <c r="P121" s="1">
        <v>9.1910284036295504</v>
      </c>
      <c r="Q121" s="1" t="s">
        <v>452</v>
      </c>
    </row>
    <row r="122" spans="1:22" x14ac:dyDescent="0.2">
      <c r="A122">
        <v>1</v>
      </c>
      <c r="B122">
        <v>1</v>
      </c>
      <c r="C122">
        <v>129</v>
      </c>
      <c r="D122" t="s">
        <v>453</v>
      </c>
      <c r="E122" t="s">
        <v>407</v>
      </c>
      <c r="F122">
        <v>0.995</v>
      </c>
      <c r="G122">
        <v>6</v>
      </c>
      <c r="H122">
        <v>200</v>
      </c>
      <c r="I122">
        <v>400</v>
      </c>
      <c r="J122">
        <v>39.92</v>
      </c>
      <c r="K122">
        <v>10.24</v>
      </c>
      <c r="L122" s="1" t="s">
        <v>454</v>
      </c>
      <c r="M122" s="1" t="s">
        <v>455</v>
      </c>
      <c r="N122" t="b">
        <v>0</v>
      </c>
      <c r="O122" s="1" t="s">
        <v>21</v>
      </c>
      <c r="P122">
        <v>9.6226341482192996</v>
      </c>
      <c r="Q122" s="1" t="s">
        <v>456</v>
      </c>
    </row>
    <row r="123" spans="1:22" x14ac:dyDescent="0.2">
      <c r="A123">
        <v>1</v>
      </c>
      <c r="B123">
        <v>1</v>
      </c>
      <c r="C123">
        <v>130</v>
      </c>
      <c r="D123" t="s">
        <v>457</v>
      </c>
      <c r="E123" t="s">
        <v>407</v>
      </c>
      <c r="F123">
        <v>0.995</v>
      </c>
      <c r="G123">
        <v>6</v>
      </c>
      <c r="H123">
        <v>200</v>
      </c>
      <c r="I123">
        <v>400</v>
      </c>
      <c r="J123">
        <v>39.19</v>
      </c>
      <c r="K123">
        <v>10.01</v>
      </c>
      <c r="L123" s="1" t="s">
        <v>458</v>
      </c>
      <c r="M123">
        <v>10.1916264734515</v>
      </c>
      <c r="N123" t="b">
        <v>0</v>
      </c>
      <c r="O123" s="1" t="s">
        <v>21</v>
      </c>
      <c r="P123" s="1">
        <v>9.5686024436255295</v>
      </c>
      <c r="Q123" s="1" t="s">
        <v>459</v>
      </c>
    </row>
    <row r="124" spans="1:22" x14ac:dyDescent="0.2">
      <c r="A124">
        <v>1</v>
      </c>
      <c r="B124">
        <v>1</v>
      </c>
      <c r="C124">
        <v>131</v>
      </c>
      <c r="D124" t="s">
        <v>460</v>
      </c>
      <c r="E124" t="s">
        <v>407</v>
      </c>
      <c r="F124">
        <v>0.995</v>
      </c>
      <c r="G124">
        <v>6</v>
      </c>
      <c r="H124">
        <v>200</v>
      </c>
      <c r="I124">
        <v>300</v>
      </c>
      <c r="J124">
        <v>43.92</v>
      </c>
      <c r="K124">
        <v>9.6240000000000006</v>
      </c>
      <c r="L124" s="1" t="s">
        <v>461</v>
      </c>
      <c r="M124" s="1" t="s">
        <v>462</v>
      </c>
      <c r="N124" t="b">
        <v>0</v>
      </c>
      <c r="O124" s="1" t="s">
        <v>21</v>
      </c>
      <c r="P124" s="1">
        <v>8.1830060738608204</v>
      </c>
      <c r="Q124" s="1" t="s">
        <v>463</v>
      </c>
      <c r="S124">
        <f>P124+P125+P126+P128+P127</f>
        <v>45.134795097981836</v>
      </c>
    </row>
    <row r="125" spans="1:22" x14ac:dyDescent="0.2">
      <c r="A125">
        <v>1</v>
      </c>
      <c r="B125">
        <v>1</v>
      </c>
      <c r="C125">
        <v>132</v>
      </c>
      <c r="D125" t="s">
        <v>464</v>
      </c>
      <c r="E125" t="s">
        <v>407</v>
      </c>
      <c r="F125">
        <v>0.995</v>
      </c>
      <c r="G125">
        <v>6</v>
      </c>
      <c r="H125">
        <v>200</v>
      </c>
      <c r="I125">
        <v>300</v>
      </c>
      <c r="J125">
        <v>37.79</v>
      </c>
      <c r="K125">
        <v>9.2100000000000009</v>
      </c>
      <c r="L125" s="1" t="s">
        <v>465</v>
      </c>
      <c r="M125" s="1" t="s">
        <v>466</v>
      </c>
      <c r="N125" t="b">
        <v>0</v>
      </c>
      <c r="O125" s="1" t="s">
        <v>21</v>
      </c>
      <c r="P125">
        <v>9.0800848582023708</v>
      </c>
      <c r="Q125" s="1" t="s">
        <v>467</v>
      </c>
      <c r="S125">
        <f>S124/5</f>
        <v>9.0269590195963669</v>
      </c>
    </row>
    <row r="126" spans="1:22" x14ac:dyDescent="0.2">
      <c r="A126">
        <v>1</v>
      </c>
      <c r="B126">
        <v>1</v>
      </c>
      <c r="C126">
        <v>133</v>
      </c>
      <c r="D126" t="s">
        <v>468</v>
      </c>
      <c r="E126" t="s">
        <v>407</v>
      </c>
      <c r="F126">
        <v>0.995</v>
      </c>
      <c r="G126">
        <v>6</v>
      </c>
      <c r="H126">
        <v>200</v>
      </c>
      <c r="I126">
        <v>300</v>
      </c>
      <c r="J126">
        <v>37.69</v>
      </c>
      <c r="K126">
        <v>9.8870000000000005</v>
      </c>
      <c r="L126" s="1" t="s">
        <v>416</v>
      </c>
      <c r="M126" s="1" t="s">
        <v>469</v>
      </c>
      <c r="N126" t="b">
        <v>0</v>
      </c>
      <c r="O126" s="1" t="s">
        <v>21</v>
      </c>
      <c r="P126" s="1">
        <v>9.8211612416646794</v>
      </c>
      <c r="Q126" s="1" t="s">
        <v>470</v>
      </c>
    </row>
    <row r="127" spans="1:22" x14ac:dyDescent="0.2">
      <c r="A127">
        <v>1</v>
      </c>
      <c r="B127">
        <v>1</v>
      </c>
      <c r="C127">
        <v>134</v>
      </c>
      <c r="D127" t="s">
        <v>471</v>
      </c>
      <c r="E127" t="s">
        <v>407</v>
      </c>
      <c r="F127">
        <v>0.995</v>
      </c>
      <c r="G127">
        <v>6</v>
      </c>
      <c r="H127">
        <v>200</v>
      </c>
      <c r="I127">
        <v>300</v>
      </c>
      <c r="J127">
        <v>44.25</v>
      </c>
      <c r="K127">
        <v>10.11</v>
      </c>
      <c r="L127" s="1" t="s">
        <v>472</v>
      </c>
      <c r="M127" s="1" t="s">
        <v>473</v>
      </c>
      <c r="N127" t="b">
        <v>0</v>
      </c>
      <c r="O127" s="1" t="s">
        <v>21</v>
      </c>
      <c r="P127" s="1">
        <v>8.5596938915539607</v>
      </c>
      <c r="Q127" s="1" t="s">
        <v>474</v>
      </c>
    </row>
    <row r="128" spans="1:22" x14ac:dyDescent="0.2">
      <c r="A128">
        <v>1</v>
      </c>
      <c r="B128">
        <v>1</v>
      </c>
      <c r="C128">
        <v>135</v>
      </c>
      <c r="D128" t="s">
        <v>475</v>
      </c>
      <c r="E128" t="s">
        <v>407</v>
      </c>
      <c r="F128">
        <v>0.995</v>
      </c>
      <c r="G128">
        <v>6</v>
      </c>
      <c r="H128">
        <v>200</v>
      </c>
      <c r="I128">
        <v>300</v>
      </c>
      <c r="J128">
        <v>38.380000000000003</v>
      </c>
      <c r="K128">
        <v>9.74</v>
      </c>
      <c r="L128" s="1" t="s">
        <v>205</v>
      </c>
      <c r="M128" s="1" t="s">
        <v>476</v>
      </c>
      <c r="N128" t="b">
        <v>0</v>
      </c>
      <c r="O128" s="1" t="s">
        <v>21</v>
      </c>
      <c r="P128" s="1">
        <v>9.4908490326999999</v>
      </c>
      <c r="Q128" s="1" t="s">
        <v>477</v>
      </c>
    </row>
    <row r="129" spans="1:19" x14ac:dyDescent="0.2">
      <c r="A129">
        <v>1</v>
      </c>
      <c r="B129">
        <v>1</v>
      </c>
      <c r="C129">
        <v>136</v>
      </c>
      <c r="D129" t="s">
        <v>478</v>
      </c>
      <c r="E129" t="s">
        <v>407</v>
      </c>
      <c r="F129">
        <v>0.995</v>
      </c>
      <c r="G129">
        <v>6</v>
      </c>
      <c r="H129">
        <v>200</v>
      </c>
      <c r="I129">
        <v>200</v>
      </c>
      <c r="J129">
        <v>39.69</v>
      </c>
      <c r="K129">
        <v>9.4309999999999992</v>
      </c>
      <c r="L129" s="1" t="s">
        <v>348</v>
      </c>
      <c r="M129" s="1" t="s">
        <v>479</v>
      </c>
      <c r="N129" t="b">
        <v>0</v>
      </c>
      <c r="O129" s="1" t="s">
        <v>21</v>
      </c>
      <c r="P129" s="1">
        <v>8.8654213994673601</v>
      </c>
      <c r="Q129">
        <v>84.029938912941404</v>
      </c>
      <c r="S129">
        <f>P129+P130+P131+P132+P133</f>
        <v>47.047711504306832</v>
      </c>
    </row>
    <row r="130" spans="1:19" x14ac:dyDescent="0.2">
      <c r="A130">
        <v>1</v>
      </c>
      <c r="B130">
        <v>1</v>
      </c>
      <c r="C130">
        <v>137</v>
      </c>
      <c r="D130" t="s">
        <v>480</v>
      </c>
      <c r="E130" t="s">
        <v>407</v>
      </c>
      <c r="F130">
        <v>0.995</v>
      </c>
      <c r="G130">
        <v>6</v>
      </c>
      <c r="H130">
        <v>200</v>
      </c>
      <c r="I130">
        <v>200</v>
      </c>
      <c r="J130">
        <v>39.5</v>
      </c>
      <c r="K130">
        <v>10.26</v>
      </c>
      <c r="L130" s="1" t="s">
        <v>481</v>
      </c>
      <c r="M130" s="1" t="s">
        <v>482</v>
      </c>
      <c r="N130" t="b">
        <v>0</v>
      </c>
      <c r="O130" s="1" t="s">
        <v>21</v>
      </c>
      <c r="P130">
        <v>9.7456620580194802</v>
      </c>
      <c r="Q130" s="1" t="s">
        <v>483</v>
      </c>
      <c r="S130">
        <f>S129/5</f>
        <v>9.4095423008613661</v>
      </c>
    </row>
    <row r="131" spans="1:19" x14ac:dyDescent="0.2">
      <c r="A131">
        <v>1</v>
      </c>
      <c r="B131">
        <v>1</v>
      </c>
      <c r="C131">
        <v>138</v>
      </c>
      <c r="D131" t="s">
        <v>484</v>
      </c>
      <c r="E131" t="s">
        <v>407</v>
      </c>
      <c r="F131">
        <v>0.995</v>
      </c>
      <c r="G131">
        <v>6</v>
      </c>
      <c r="H131">
        <v>200</v>
      </c>
      <c r="I131">
        <v>200</v>
      </c>
      <c r="J131">
        <v>37.630000000000003</v>
      </c>
      <c r="K131">
        <v>9.92</v>
      </c>
      <c r="L131" s="1" t="s">
        <v>408</v>
      </c>
      <c r="M131" s="1" t="s">
        <v>485</v>
      </c>
      <c r="N131" t="b">
        <v>0</v>
      </c>
      <c r="O131" s="1" t="s">
        <v>21</v>
      </c>
      <c r="P131" s="1">
        <v>9.8719015327815605</v>
      </c>
      <c r="Q131" s="1" t="s">
        <v>486</v>
      </c>
    </row>
    <row r="132" spans="1:19" x14ac:dyDescent="0.2">
      <c r="A132">
        <v>1</v>
      </c>
      <c r="B132">
        <v>1</v>
      </c>
      <c r="C132">
        <v>139</v>
      </c>
      <c r="D132" t="s">
        <v>487</v>
      </c>
      <c r="E132" t="s">
        <v>407</v>
      </c>
      <c r="F132">
        <v>0.995</v>
      </c>
      <c r="G132">
        <v>6</v>
      </c>
      <c r="H132">
        <v>200</v>
      </c>
      <c r="I132">
        <v>200</v>
      </c>
      <c r="J132">
        <v>39.270000000000003</v>
      </c>
      <c r="K132">
        <v>9.4550000000000001</v>
      </c>
      <c r="L132" s="1" t="s">
        <v>488</v>
      </c>
      <c r="M132" s="1" t="s">
        <v>489</v>
      </c>
      <c r="N132" t="b">
        <v>0</v>
      </c>
      <c r="O132" s="1" t="s">
        <v>21</v>
      </c>
      <c r="P132">
        <v>8.9850986575791403</v>
      </c>
      <c r="Q132" s="1" t="s">
        <v>490</v>
      </c>
    </row>
    <row r="133" spans="1:19" x14ac:dyDescent="0.2">
      <c r="A133">
        <v>1</v>
      </c>
      <c r="B133">
        <v>1</v>
      </c>
      <c r="C133">
        <v>140</v>
      </c>
      <c r="D133" t="s">
        <v>491</v>
      </c>
      <c r="E133" t="s">
        <v>407</v>
      </c>
      <c r="F133">
        <v>0.995</v>
      </c>
      <c r="G133">
        <v>6</v>
      </c>
      <c r="H133">
        <v>200</v>
      </c>
      <c r="I133">
        <v>200</v>
      </c>
      <c r="J133">
        <v>40.72</v>
      </c>
      <c r="K133">
        <v>10.39</v>
      </c>
      <c r="L133">
        <v>0.97970448826637102</v>
      </c>
      <c r="M133" s="1" t="s">
        <v>492</v>
      </c>
      <c r="N133" t="b">
        <v>0</v>
      </c>
      <c r="O133" s="1" t="s">
        <v>21</v>
      </c>
      <c r="P133" s="1">
        <v>9.5796278564592896</v>
      </c>
      <c r="Q133" s="1" t="s">
        <v>493</v>
      </c>
    </row>
    <row r="134" spans="1:19" x14ac:dyDescent="0.2">
      <c r="A134">
        <v>1</v>
      </c>
      <c r="B134">
        <v>1</v>
      </c>
      <c r="C134">
        <v>141</v>
      </c>
      <c r="D134" t="s">
        <v>494</v>
      </c>
      <c r="E134" t="s">
        <v>407</v>
      </c>
      <c r="F134">
        <v>0.995</v>
      </c>
      <c r="G134">
        <v>6</v>
      </c>
      <c r="H134">
        <v>200</v>
      </c>
      <c r="I134">
        <v>100</v>
      </c>
      <c r="J134">
        <v>38.270000000000003</v>
      </c>
      <c r="K134">
        <v>10.11</v>
      </c>
      <c r="L134" s="1" t="s">
        <v>495</v>
      </c>
      <c r="M134" s="1" t="s">
        <v>496</v>
      </c>
      <c r="N134" t="b">
        <v>0</v>
      </c>
      <c r="O134" s="1" t="s">
        <v>21</v>
      </c>
      <c r="P134" s="1">
        <v>9.9040848693612897</v>
      </c>
      <c r="Q134" s="1" t="s">
        <v>497</v>
      </c>
      <c r="S134">
        <f>P134+P135+P136+P137+P138</f>
        <v>49.001639869795497</v>
      </c>
    </row>
    <row r="135" spans="1:19" x14ac:dyDescent="0.2">
      <c r="A135">
        <v>1</v>
      </c>
      <c r="B135">
        <v>1</v>
      </c>
      <c r="C135">
        <v>142</v>
      </c>
      <c r="D135" t="s">
        <v>498</v>
      </c>
      <c r="E135" t="s">
        <v>407</v>
      </c>
      <c r="F135">
        <v>0.995</v>
      </c>
      <c r="G135">
        <v>6</v>
      </c>
      <c r="H135">
        <v>200</v>
      </c>
      <c r="I135">
        <v>100</v>
      </c>
      <c r="J135">
        <v>38.299999999999997</v>
      </c>
      <c r="K135">
        <v>9.8650000000000002</v>
      </c>
      <c r="L135" s="1" t="s">
        <v>499</v>
      </c>
      <c r="M135" s="1" t="s">
        <v>500</v>
      </c>
      <c r="N135" t="b">
        <v>0</v>
      </c>
      <c r="O135" s="1" t="s">
        <v>21</v>
      </c>
      <c r="P135" s="1">
        <v>9.6410156314720901</v>
      </c>
      <c r="Q135" s="1" t="s">
        <v>501</v>
      </c>
      <c r="S135">
        <f>S134/5</f>
        <v>9.8003279739590994</v>
      </c>
    </row>
    <row r="136" spans="1:19" x14ac:dyDescent="0.2">
      <c r="A136">
        <v>1</v>
      </c>
      <c r="B136">
        <v>1</v>
      </c>
      <c r="C136">
        <v>143</v>
      </c>
      <c r="D136" t="s">
        <v>502</v>
      </c>
      <c r="E136" t="s">
        <v>407</v>
      </c>
      <c r="F136">
        <v>0.995</v>
      </c>
      <c r="G136">
        <v>6</v>
      </c>
      <c r="H136">
        <v>200</v>
      </c>
      <c r="I136">
        <v>100</v>
      </c>
      <c r="J136">
        <v>39.799999999999997</v>
      </c>
      <c r="K136">
        <v>10.28</v>
      </c>
      <c r="L136" s="1" t="s">
        <v>198</v>
      </c>
      <c r="M136" s="1" t="s">
        <v>503</v>
      </c>
      <c r="N136" t="b">
        <v>0</v>
      </c>
      <c r="O136" s="1" t="s">
        <v>21</v>
      </c>
      <c r="P136" s="1">
        <v>9.6918888662789708</v>
      </c>
      <c r="Q136" s="1" t="s">
        <v>504</v>
      </c>
    </row>
    <row r="137" spans="1:19" x14ac:dyDescent="0.2">
      <c r="A137">
        <v>1</v>
      </c>
      <c r="B137">
        <v>1</v>
      </c>
      <c r="C137">
        <v>144</v>
      </c>
      <c r="D137" t="s">
        <v>505</v>
      </c>
      <c r="E137" t="s">
        <v>407</v>
      </c>
      <c r="F137">
        <v>0.995</v>
      </c>
      <c r="G137">
        <v>6</v>
      </c>
      <c r="H137">
        <v>200</v>
      </c>
      <c r="I137">
        <v>100</v>
      </c>
      <c r="J137">
        <v>39.380000000000003</v>
      </c>
      <c r="K137">
        <v>9.9670000000000005</v>
      </c>
      <c r="L137" s="1" t="s">
        <v>506</v>
      </c>
      <c r="M137" s="1" t="s">
        <v>507</v>
      </c>
      <c r="N137" t="b">
        <v>0</v>
      </c>
      <c r="O137" s="1" t="s">
        <v>21</v>
      </c>
      <c r="P137" s="1">
        <v>9.4786376987936496</v>
      </c>
      <c r="Q137" s="1" t="s">
        <v>508</v>
      </c>
    </row>
    <row r="138" spans="1:19" x14ac:dyDescent="0.2">
      <c r="A138">
        <v>1</v>
      </c>
      <c r="B138">
        <v>1</v>
      </c>
      <c r="C138">
        <v>145</v>
      </c>
      <c r="D138" t="s">
        <v>509</v>
      </c>
      <c r="E138" t="s">
        <v>407</v>
      </c>
      <c r="F138">
        <v>0.995</v>
      </c>
      <c r="G138">
        <v>6</v>
      </c>
      <c r="H138">
        <v>200</v>
      </c>
      <c r="I138">
        <v>100</v>
      </c>
      <c r="J138">
        <v>38.130000000000003</v>
      </c>
      <c r="K138">
        <v>10.44</v>
      </c>
      <c r="L138" s="1" t="s">
        <v>239</v>
      </c>
      <c r="M138" s="1" t="s">
        <v>510</v>
      </c>
      <c r="N138" t="b">
        <v>0</v>
      </c>
      <c r="O138" s="1" t="s">
        <v>21</v>
      </c>
      <c r="P138">
        <v>10.2860128038895</v>
      </c>
      <c r="Q138" s="1" t="s">
        <v>511</v>
      </c>
    </row>
    <row r="139" spans="1:19" x14ac:dyDescent="0.2">
      <c r="A139">
        <v>1</v>
      </c>
      <c r="B139">
        <v>1</v>
      </c>
      <c r="C139">
        <v>146</v>
      </c>
      <c r="D139" t="s">
        <v>512</v>
      </c>
      <c r="E139" t="s">
        <v>407</v>
      </c>
      <c r="F139">
        <v>0.995</v>
      </c>
      <c r="G139">
        <v>6</v>
      </c>
      <c r="H139">
        <v>200</v>
      </c>
      <c r="I139">
        <v>80</v>
      </c>
      <c r="J139">
        <v>39.299999999999997</v>
      </c>
      <c r="K139">
        <v>10.15</v>
      </c>
      <c r="L139" s="1" t="s">
        <v>513</v>
      </c>
      <c r="M139" s="1" t="s">
        <v>514</v>
      </c>
      <c r="N139" t="b">
        <v>0</v>
      </c>
      <c r="O139" s="1" t="s">
        <v>21</v>
      </c>
      <c r="P139" s="1">
        <v>9.6838254444279599</v>
      </c>
      <c r="Q139" s="1" t="s">
        <v>515</v>
      </c>
      <c r="S139">
        <f>P139+P140+P141+P142+P143</f>
        <v>47.224123988179556</v>
      </c>
    </row>
    <row r="140" spans="1:19" x14ac:dyDescent="0.2">
      <c r="A140">
        <v>1</v>
      </c>
      <c r="B140">
        <v>1</v>
      </c>
      <c r="C140">
        <v>147</v>
      </c>
      <c r="D140" t="s">
        <v>516</v>
      </c>
      <c r="E140" t="s">
        <v>407</v>
      </c>
      <c r="F140">
        <v>0.995</v>
      </c>
      <c r="G140">
        <v>6</v>
      </c>
      <c r="H140">
        <v>200</v>
      </c>
      <c r="I140">
        <v>80</v>
      </c>
      <c r="J140">
        <v>38.659999999999997</v>
      </c>
      <c r="K140">
        <v>9.5210000000000008</v>
      </c>
      <c r="L140" s="1" t="s">
        <v>517</v>
      </c>
      <c r="M140" s="1" t="s">
        <v>518</v>
      </c>
      <c r="N140" t="b">
        <v>0</v>
      </c>
      <c r="O140" s="1" t="s">
        <v>21</v>
      </c>
      <c r="P140" s="1">
        <v>9.1957149225925701</v>
      </c>
      <c r="Q140" s="1" t="s">
        <v>519</v>
      </c>
      <c r="S140">
        <f>S139/5</f>
        <v>9.4448247976359117</v>
      </c>
    </row>
    <row r="141" spans="1:19" x14ac:dyDescent="0.2">
      <c r="A141">
        <v>1</v>
      </c>
      <c r="B141">
        <v>1</v>
      </c>
      <c r="C141">
        <v>148</v>
      </c>
      <c r="D141" t="s">
        <v>520</v>
      </c>
      <c r="E141" t="s">
        <v>407</v>
      </c>
      <c r="F141">
        <v>0.995</v>
      </c>
      <c r="G141">
        <v>6</v>
      </c>
      <c r="H141">
        <v>200</v>
      </c>
      <c r="I141">
        <v>80</v>
      </c>
      <c r="J141">
        <v>39.49</v>
      </c>
      <c r="K141">
        <v>10.45</v>
      </c>
      <c r="L141" s="1" t="s">
        <v>521</v>
      </c>
      <c r="M141" s="1" t="s">
        <v>522</v>
      </c>
      <c r="N141" t="b">
        <v>0</v>
      </c>
      <c r="O141" s="1" t="s">
        <v>21</v>
      </c>
      <c r="P141" s="1">
        <v>9.9401127689097493</v>
      </c>
      <c r="Q141" s="1" t="s">
        <v>523</v>
      </c>
    </row>
    <row r="142" spans="1:19" x14ac:dyDescent="0.2">
      <c r="A142">
        <v>1</v>
      </c>
      <c r="B142">
        <v>1</v>
      </c>
      <c r="C142">
        <v>149</v>
      </c>
      <c r="D142" t="s">
        <v>524</v>
      </c>
      <c r="E142" t="s">
        <v>407</v>
      </c>
      <c r="F142">
        <v>0.995</v>
      </c>
      <c r="G142">
        <v>6</v>
      </c>
      <c r="H142">
        <v>200</v>
      </c>
      <c r="I142">
        <v>80</v>
      </c>
      <c r="J142">
        <v>39.57</v>
      </c>
      <c r="K142">
        <v>9.8989999999999991</v>
      </c>
      <c r="L142" s="1" t="s">
        <v>525</v>
      </c>
      <c r="M142">
        <v>9.98134450726117</v>
      </c>
      <c r="N142" t="b">
        <v>0</v>
      </c>
      <c r="O142" s="1" t="s">
        <v>21</v>
      </c>
      <c r="P142" s="1">
        <v>9.3643332352291804</v>
      </c>
      <c r="Q142" s="1" t="s">
        <v>526</v>
      </c>
    </row>
    <row r="143" spans="1:19" x14ac:dyDescent="0.2">
      <c r="A143">
        <v>1</v>
      </c>
      <c r="B143">
        <v>1</v>
      </c>
      <c r="C143">
        <v>150</v>
      </c>
      <c r="D143" t="s">
        <v>527</v>
      </c>
      <c r="E143" t="s">
        <v>407</v>
      </c>
      <c r="F143">
        <v>0.995</v>
      </c>
      <c r="G143">
        <v>6</v>
      </c>
      <c r="H143">
        <v>200</v>
      </c>
      <c r="I143">
        <v>80</v>
      </c>
      <c r="J143">
        <v>39.299999999999997</v>
      </c>
      <c r="K143">
        <v>9.516</v>
      </c>
      <c r="L143" s="1" t="s">
        <v>513</v>
      </c>
      <c r="M143" s="1" t="s">
        <v>528</v>
      </c>
      <c r="N143" t="b">
        <v>0</v>
      </c>
      <c r="O143" s="1" t="s">
        <v>21</v>
      </c>
      <c r="P143" s="1">
        <v>9.0401376170200898</v>
      </c>
      <c r="Q143" s="1" t="s">
        <v>529</v>
      </c>
    </row>
    <row r="144" spans="1:19" x14ac:dyDescent="0.2">
      <c r="A144">
        <v>2</v>
      </c>
      <c r="B144">
        <v>1</v>
      </c>
      <c r="C144">
        <v>151</v>
      </c>
      <c r="D144" t="s">
        <v>530</v>
      </c>
      <c r="E144" t="s">
        <v>407</v>
      </c>
      <c r="F144">
        <v>0.995</v>
      </c>
      <c r="G144">
        <v>6</v>
      </c>
      <c r="H144">
        <v>200</v>
      </c>
      <c r="I144">
        <v>60</v>
      </c>
      <c r="J144">
        <v>40.42</v>
      </c>
      <c r="K144">
        <v>9.7170000000000005</v>
      </c>
      <c r="L144" s="1" t="s">
        <v>531</v>
      </c>
      <c r="M144" s="1" t="s">
        <v>532</v>
      </c>
      <c r="N144" t="b">
        <v>0</v>
      </c>
      <c r="O144" s="1" t="s">
        <v>533</v>
      </c>
      <c r="P144" s="1">
        <v>8.8097355355216802</v>
      </c>
      <c r="Q144" s="1" t="s">
        <v>534</v>
      </c>
      <c r="S144">
        <f>P144+P145+P146+P147+P148</f>
        <v>45.245781995389443</v>
      </c>
    </row>
    <row r="145" spans="1:24" x14ac:dyDescent="0.2">
      <c r="A145">
        <v>2</v>
      </c>
      <c r="B145">
        <v>1</v>
      </c>
      <c r="C145">
        <v>152</v>
      </c>
      <c r="D145" t="s">
        <v>535</v>
      </c>
      <c r="E145" t="s">
        <v>407</v>
      </c>
      <c r="F145">
        <v>0.995</v>
      </c>
      <c r="G145">
        <v>6</v>
      </c>
      <c r="H145">
        <v>200</v>
      </c>
      <c r="I145">
        <v>60</v>
      </c>
      <c r="J145">
        <v>36.1</v>
      </c>
      <c r="K145">
        <v>9.8390000000000004</v>
      </c>
      <c r="L145" s="1" t="s">
        <v>536</v>
      </c>
      <c r="M145" s="1" t="s">
        <v>537</v>
      </c>
      <c r="N145" t="b">
        <v>0</v>
      </c>
      <c r="O145" s="1" t="s">
        <v>533</v>
      </c>
      <c r="P145" s="1">
        <v>10.0032947453318</v>
      </c>
      <c r="Q145" s="1" t="s">
        <v>538</v>
      </c>
      <c r="S145">
        <f>S144/5</f>
        <v>9.0491563990778889</v>
      </c>
    </row>
    <row r="146" spans="1:24" x14ac:dyDescent="0.2">
      <c r="A146">
        <v>2</v>
      </c>
      <c r="B146">
        <v>1</v>
      </c>
      <c r="C146">
        <v>153</v>
      </c>
      <c r="D146" t="s">
        <v>539</v>
      </c>
      <c r="E146" t="s">
        <v>407</v>
      </c>
      <c r="F146">
        <v>0.995</v>
      </c>
      <c r="G146">
        <v>6</v>
      </c>
      <c r="H146">
        <v>200</v>
      </c>
      <c r="I146">
        <v>60</v>
      </c>
      <c r="J146">
        <v>48.04</v>
      </c>
      <c r="K146">
        <v>10.97</v>
      </c>
      <c r="L146" s="1" t="s">
        <v>540</v>
      </c>
      <c r="M146" s="1" t="s">
        <v>541</v>
      </c>
      <c r="N146" t="b">
        <v>0</v>
      </c>
      <c r="O146" s="1" t="s">
        <v>533</v>
      </c>
      <c r="P146" s="1">
        <v>8.4246880632268208</v>
      </c>
      <c r="Q146" s="1" t="s">
        <v>542</v>
      </c>
    </row>
    <row r="147" spans="1:24" x14ac:dyDescent="0.2">
      <c r="A147">
        <v>2</v>
      </c>
      <c r="B147">
        <v>1</v>
      </c>
      <c r="C147">
        <v>154</v>
      </c>
      <c r="D147" t="s">
        <v>543</v>
      </c>
      <c r="E147" t="s">
        <v>407</v>
      </c>
      <c r="F147">
        <v>0.995</v>
      </c>
      <c r="G147">
        <v>6</v>
      </c>
      <c r="H147">
        <v>200</v>
      </c>
      <c r="I147">
        <v>60</v>
      </c>
      <c r="J147">
        <v>38.39</v>
      </c>
      <c r="K147">
        <v>9.8249999999999993</v>
      </c>
      <c r="L147" s="1" t="s">
        <v>544</v>
      </c>
      <c r="M147" s="1" t="s">
        <v>545</v>
      </c>
      <c r="N147" t="b">
        <v>0</v>
      </c>
      <c r="O147" s="1" t="s">
        <v>533</v>
      </c>
      <c r="P147" s="1">
        <v>9.3885802224267092</v>
      </c>
      <c r="Q147" s="1" t="s">
        <v>546</v>
      </c>
    </row>
    <row r="148" spans="1:24" x14ac:dyDescent="0.2">
      <c r="A148">
        <v>2</v>
      </c>
      <c r="B148">
        <v>1</v>
      </c>
      <c r="C148">
        <v>155</v>
      </c>
      <c r="D148" t="s">
        <v>547</v>
      </c>
      <c r="E148" t="s">
        <v>407</v>
      </c>
      <c r="F148">
        <v>0.995</v>
      </c>
      <c r="G148">
        <v>6</v>
      </c>
      <c r="H148">
        <v>200</v>
      </c>
      <c r="I148">
        <v>60</v>
      </c>
      <c r="J148">
        <v>38</v>
      </c>
      <c r="K148">
        <v>8.984</v>
      </c>
      <c r="L148" s="1" t="s">
        <v>548</v>
      </c>
      <c r="M148">
        <v>9.2517384510973706</v>
      </c>
      <c r="N148" t="b">
        <v>0</v>
      </c>
      <c r="O148" s="1" t="s">
        <v>533</v>
      </c>
      <c r="P148" s="1">
        <v>8.6194834288824307</v>
      </c>
      <c r="Q148" s="1" t="s">
        <v>549</v>
      </c>
    </row>
    <row r="149" spans="1:24" x14ac:dyDescent="0.2">
      <c r="A149">
        <v>2</v>
      </c>
      <c r="B149">
        <v>1</v>
      </c>
      <c r="C149">
        <v>156</v>
      </c>
      <c r="D149" t="s">
        <v>550</v>
      </c>
      <c r="E149" t="s">
        <v>407</v>
      </c>
      <c r="F149">
        <v>0.995</v>
      </c>
      <c r="G149">
        <v>6</v>
      </c>
      <c r="H149">
        <v>200</v>
      </c>
      <c r="I149">
        <v>0</v>
      </c>
      <c r="J149">
        <v>37.85</v>
      </c>
      <c r="K149">
        <v>0.51080000000000003</v>
      </c>
      <c r="L149" s="1" t="s">
        <v>551</v>
      </c>
      <c r="M149" s="1" t="s">
        <v>552</v>
      </c>
      <c r="N149" t="b">
        <v>1</v>
      </c>
      <c r="O149" s="1" t="s">
        <v>533</v>
      </c>
      <c r="P149">
        <v>0.10665599064617599</v>
      </c>
      <c r="Q149">
        <v>5.4753648263383997E-2</v>
      </c>
      <c r="S149">
        <f>P149+P150+P151+P152+P153</f>
        <v>0.59709273300477417</v>
      </c>
    </row>
    <row r="150" spans="1:24" x14ac:dyDescent="0.2">
      <c r="A150">
        <v>2</v>
      </c>
      <c r="B150">
        <v>1</v>
      </c>
      <c r="C150">
        <v>157</v>
      </c>
      <c r="D150" t="s">
        <v>553</v>
      </c>
      <c r="E150" t="s">
        <v>407</v>
      </c>
      <c r="F150">
        <v>0.995</v>
      </c>
      <c r="G150">
        <v>6</v>
      </c>
      <c r="H150">
        <v>200</v>
      </c>
      <c r="I150">
        <v>0</v>
      </c>
      <c r="J150">
        <v>38.020000000000003</v>
      </c>
      <c r="K150">
        <v>0.52590000000000003</v>
      </c>
      <c r="L150" s="1" t="s">
        <v>554</v>
      </c>
      <c r="M150" s="1" t="s">
        <v>555</v>
      </c>
      <c r="N150" t="b">
        <v>1</v>
      </c>
      <c r="O150" s="1" t="s">
        <v>533</v>
      </c>
      <c r="P150">
        <v>9.0634305225992806E-2</v>
      </c>
      <c r="Q150">
        <v>4.7904101626482003E-2</v>
      </c>
      <c r="S150">
        <f>S149/5</f>
        <v>0.11941854660095483</v>
      </c>
    </row>
    <row r="151" spans="1:24" x14ac:dyDescent="0.2">
      <c r="A151">
        <v>2</v>
      </c>
      <c r="B151">
        <v>1</v>
      </c>
      <c r="C151">
        <v>158</v>
      </c>
      <c r="D151" t="s">
        <v>556</v>
      </c>
      <c r="E151" t="s">
        <v>407</v>
      </c>
      <c r="F151">
        <v>0.995</v>
      </c>
      <c r="G151">
        <v>6</v>
      </c>
      <c r="H151">
        <v>200</v>
      </c>
      <c r="I151">
        <v>0</v>
      </c>
      <c r="J151">
        <v>39.57</v>
      </c>
      <c r="K151">
        <v>0.58489999999999998</v>
      </c>
      <c r="L151" s="1" t="s">
        <v>557</v>
      </c>
      <c r="M151" s="1" t="s">
        <v>558</v>
      </c>
      <c r="N151" t="b">
        <v>1</v>
      </c>
      <c r="O151" s="1" t="s">
        <v>533</v>
      </c>
      <c r="P151">
        <v>2.87295129867144E-2</v>
      </c>
      <c r="Q151">
        <v>1.6888333815004299E-2</v>
      </c>
    </row>
    <row r="152" spans="1:24" x14ac:dyDescent="0.2">
      <c r="A152">
        <v>2</v>
      </c>
      <c r="B152">
        <v>1</v>
      </c>
      <c r="C152">
        <v>159</v>
      </c>
      <c r="D152" t="s">
        <v>559</v>
      </c>
      <c r="E152" t="s">
        <v>407</v>
      </c>
      <c r="F152">
        <v>0.995</v>
      </c>
      <c r="G152">
        <v>6</v>
      </c>
      <c r="H152">
        <v>200</v>
      </c>
      <c r="I152">
        <v>0</v>
      </c>
      <c r="J152">
        <v>39.97</v>
      </c>
      <c r="K152">
        <v>0.87690000000000001</v>
      </c>
      <c r="L152" s="1" t="s">
        <v>560</v>
      </c>
      <c r="M152" s="1" t="s">
        <v>561</v>
      </c>
      <c r="N152" t="b">
        <v>1</v>
      </c>
      <c r="O152" s="1" t="s">
        <v>533</v>
      </c>
      <c r="P152" s="1">
        <v>0.25735196377865999</v>
      </c>
      <c r="Q152" s="1" t="s">
        <v>562</v>
      </c>
    </row>
    <row r="153" spans="1:24" x14ac:dyDescent="0.2">
      <c r="A153">
        <v>2</v>
      </c>
      <c r="B153">
        <v>1</v>
      </c>
      <c r="C153">
        <v>160</v>
      </c>
      <c r="D153" t="s">
        <v>563</v>
      </c>
      <c r="E153" t="s">
        <v>407</v>
      </c>
      <c r="F153">
        <v>0.995</v>
      </c>
      <c r="G153">
        <v>6</v>
      </c>
      <c r="H153">
        <v>200</v>
      </c>
      <c r="I153">
        <v>0</v>
      </c>
      <c r="J153">
        <v>41.15</v>
      </c>
      <c r="K153">
        <v>0.73360000000000003</v>
      </c>
      <c r="L153" s="1" t="s">
        <v>564</v>
      </c>
      <c r="M153" s="1" t="s">
        <v>565</v>
      </c>
      <c r="N153" t="b">
        <v>1</v>
      </c>
      <c r="O153" s="1" t="s">
        <v>533</v>
      </c>
      <c r="P153" s="1">
        <v>0.11372096036723101</v>
      </c>
      <c r="Q153">
        <v>8.3844921131056099E-2</v>
      </c>
    </row>
    <row r="154" spans="1:24" x14ac:dyDescent="0.2">
      <c r="A154">
        <v>2</v>
      </c>
      <c r="B154">
        <v>1</v>
      </c>
      <c r="C154">
        <v>161</v>
      </c>
      <c r="D154" t="s">
        <v>566</v>
      </c>
      <c r="E154" t="s">
        <v>407</v>
      </c>
      <c r="F154">
        <v>0.995</v>
      </c>
      <c r="G154">
        <v>10</v>
      </c>
      <c r="H154">
        <v>200</v>
      </c>
      <c r="I154">
        <v>2400</v>
      </c>
      <c r="J154">
        <v>40.270000000000003</v>
      </c>
      <c r="K154">
        <v>10.33</v>
      </c>
      <c r="L154" s="1" t="s">
        <v>567</v>
      </c>
      <c r="M154" s="1" t="s">
        <v>568</v>
      </c>
      <c r="N154" t="b">
        <v>0</v>
      </c>
      <c r="O154" s="1" t="s">
        <v>533</v>
      </c>
      <c r="P154" s="1">
        <v>9.4382181570821793</v>
      </c>
      <c r="Q154" s="1" t="s">
        <v>569</v>
      </c>
      <c r="S154">
        <f>P154+P155+P156+P157+P158</f>
        <v>46.335692459206072</v>
      </c>
      <c r="U154">
        <v>2400</v>
      </c>
      <c r="V154">
        <f>S154/5</f>
        <v>9.2671384918412141</v>
      </c>
      <c r="W154">
        <v>0.55913679999999999</v>
      </c>
      <c r="X154">
        <f>_xlfn.STDEV.S(P183:P186)</f>
        <v>5.8457692068044576E-2</v>
      </c>
    </row>
    <row r="155" spans="1:24" x14ac:dyDescent="0.2">
      <c r="A155">
        <v>2</v>
      </c>
      <c r="B155">
        <v>1</v>
      </c>
      <c r="C155">
        <v>162</v>
      </c>
      <c r="D155" t="s">
        <v>570</v>
      </c>
      <c r="E155" t="s">
        <v>407</v>
      </c>
      <c r="F155">
        <v>0.995</v>
      </c>
      <c r="G155">
        <v>10</v>
      </c>
      <c r="H155">
        <v>200</v>
      </c>
      <c r="I155">
        <v>2400</v>
      </c>
      <c r="J155">
        <v>38.49</v>
      </c>
      <c r="K155">
        <v>9.6839999999999993</v>
      </c>
      <c r="L155" s="1" t="s">
        <v>571</v>
      </c>
      <c r="M155">
        <v>9.8448493039470808</v>
      </c>
      <c r="N155" t="b">
        <v>0</v>
      </c>
      <c r="O155" s="1" t="s">
        <v>533</v>
      </c>
      <c r="P155" s="1">
        <v>9.2206935531462495</v>
      </c>
      <c r="Q155" s="1" t="s">
        <v>572</v>
      </c>
      <c r="U155">
        <v>2000</v>
      </c>
      <c r="V155">
        <f>S159/5</f>
        <v>9.176961887386927</v>
      </c>
      <c r="W155">
        <v>0.1356531</v>
      </c>
      <c r="X155" s="3">
        <v>0.18573474000000001</v>
      </c>
    </row>
    <row r="156" spans="1:24" x14ac:dyDescent="0.2">
      <c r="A156">
        <v>2</v>
      </c>
      <c r="B156">
        <v>1</v>
      </c>
      <c r="C156">
        <v>163</v>
      </c>
      <c r="D156" t="s">
        <v>573</v>
      </c>
      <c r="E156" t="s">
        <v>407</v>
      </c>
      <c r="F156">
        <v>0.995</v>
      </c>
      <c r="G156">
        <v>10</v>
      </c>
      <c r="H156">
        <v>200</v>
      </c>
      <c r="I156">
        <v>2400</v>
      </c>
      <c r="J156">
        <v>38.479999999999997</v>
      </c>
      <c r="K156">
        <v>9.9030000000000005</v>
      </c>
      <c r="L156">
        <v>1.0168756432000301</v>
      </c>
      <c r="M156" s="1" t="s">
        <v>574</v>
      </c>
      <c r="N156" t="b">
        <v>0</v>
      </c>
      <c r="O156" s="1" t="s">
        <v>533</v>
      </c>
      <c r="P156" s="1">
        <v>9.4458005272888794</v>
      </c>
      <c r="Q156">
        <v>94.011821730393805</v>
      </c>
      <c r="U156">
        <v>1600</v>
      </c>
      <c r="V156">
        <f>S164/5</f>
        <v>9.3650655516847419</v>
      </c>
      <c r="W156">
        <v>0.70375650000000001</v>
      </c>
      <c r="X156" s="3">
        <v>1.04167762</v>
      </c>
    </row>
    <row r="157" spans="1:24" x14ac:dyDescent="0.2">
      <c r="A157">
        <v>2</v>
      </c>
      <c r="B157">
        <v>1</v>
      </c>
      <c r="C157">
        <v>164</v>
      </c>
      <c r="D157" t="s">
        <v>575</v>
      </c>
      <c r="E157" t="s">
        <v>407</v>
      </c>
      <c r="F157">
        <v>0.995</v>
      </c>
      <c r="G157">
        <v>10</v>
      </c>
      <c r="H157">
        <v>200</v>
      </c>
      <c r="I157">
        <v>2400</v>
      </c>
      <c r="J157">
        <v>41.72</v>
      </c>
      <c r="K157">
        <v>10.210000000000001</v>
      </c>
      <c r="L157" s="1" t="s">
        <v>576</v>
      </c>
      <c r="M157" s="1" t="s">
        <v>577</v>
      </c>
      <c r="N157" t="b">
        <v>0</v>
      </c>
      <c r="O157" s="1" t="s">
        <v>533</v>
      </c>
      <c r="P157" s="1">
        <v>8.9958038473017101</v>
      </c>
      <c r="Q157">
        <v>92.308700784874901</v>
      </c>
      <c r="U157">
        <v>1200</v>
      </c>
      <c r="V157">
        <f>S169/5</f>
        <v>9.7118840829337039</v>
      </c>
      <c r="W157">
        <v>0.79652140000000005</v>
      </c>
      <c r="X157" s="3">
        <v>0.79652140999999999</v>
      </c>
    </row>
    <row r="158" spans="1:24" x14ac:dyDescent="0.2">
      <c r="A158">
        <v>2</v>
      </c>
      <c r="B158">
        <v>1</v>
      </c>
      <c r="C158">
        <v>165</v>
      </c>
      <c r="D158" t="s">
        <v>578</v>
      </c>
      <c r="E158" t="s">
        <v>407</v>
      </c>
      <c r="F158">
        <v>0.995</v>
      </c>
      <c r="G158">
        <v>10</v>
      </c>
      <c r="H158">
        <v>200</v>
      </c>
      <c r="I158">
        <v>2400</v>
      </c>
      <c r="J158">
        <v>38.03</v>
      </c>
      <c r="K158">
        <v>9.5890000000000004</v>
      </c>
      <c r="L158" s="1" t="s">
        <v>579</v>
      </c>
      <c r="M158" s="1" t="s">
        <v>580</v>
      </c>
      <c r="N158" t="b">
        <v>0</v>
      </c>
      <c r="O158" s="1" t="s">
        <v>533</v>
      </c>
      <c r="P158" s="1">
        <v>9.2351763743870503</v>
      </c>
      <c r="Q158" s="1" t="s">
        <v>581</v>
      </c>
      <c r="U158">
        <v>800</v>
      </c>
      <c r="V158">
        <f>S174/5</f>
        <v>9.3202870445876229</v>
      </c>
      <c r="W158">
        <v>1.0416776000000001</v>
      </c>
      <c r="X158" s="3">
        <v>0.70375648000000002</v>
      </c>
    </row>
    <row r="159" spans="1:24" x14ac:dyDescent="0.2">
      <c r="A159">
        <v>2</v>
      </c>
      <c r="B159">
        <v>1</v>
      </c>
      <c r="C159">
        <v>169</v>
      </c>
      <c r="D159" t="s">
        <v>582</v>
      </c>
      <c r="E159" t="s">
        <v>407</v>
      </c>
      <c r="F159">
        <v>0.995</v>
      </c>
      <c r="G159">
        <v>10</v>
      </c>
      <c r="H159">
        <v>200</v>
      </c>
      <c r="I159">
        <v>2000</v>
      </c>
      <c r="J159">
        <v>40.08</v>
      </c>
      <c r="K159">
        <v>9.782</v>
      </c>
      <c r="L159" s="1" t="s">
        <v>583</v>
      </c>
      <c r="M159" s="1" t="s">
        <v>584</v>
      </c>
      <c r="N159" t="b">
        <v>0</v>
      </c>
      <c r="O159" s="1" t="s">
        <v>533</v>
      </c>
      <c r="P159">
        <v>8.9483596838941306</v>
      </c>
      <c r="Q159">
        <v>87.9727180179421</v>
      </c>
      <c r="S159">
        <f>P159+P160+P161+P162+P163</f>
        <v>45.884809436934638</v>
      </c>
      <c r="U159">
        <v>400</v>
      </c>
      <c r="V159">
        <f>S179/4</f>
        <v>9.3332371387145443</v>
      </c>
      <c r="W159">
        <v>0.1857347</v>
      </c>
      <c r="X159" s="3">
        <v>0.13565305999999999</v>
      </c>
    </row>
    <row r="160" spans="1:24" x14ac:dyDescent="0.2">
      <c r="A160">
        <v>2</v>
      </c>
      <c r="B160">
        <v>1</v>
      </c>
      <c r="C160">
        <v>170</v>
      </c>
      <c r="D160" t="s">
        <v>585</v>
      </c>
      <c r="E160" t="s">
        <v>407</v>
      </c>
      <c r="F160">
        <v>0.995</v>
      </c>
      <c r="G160">
        <v>10</v>
      </c>
      <c r="H160">
        <v>200</v>
      </c>
      <c r="I160">
        <v>2000</v>
      </c>
      <c r="J160">
        <v>38.64</v>
      </c>
      <c r="K160">
        <v>11.29</v>
      </c>
      <c r="L160" s="1" t="s">
        <v>586</v>
      </c>
      <c r="M160" s="1" t="s">
        <v>587</v>
      </c>
      <c r="N160" t="b">
        <v>0</v>
      </c>
      <c r="O160" s="1" t="s">
        <v>533</v>
      </c>
      <c r="P160" s="1">
        <v>10.8109739870683</v>
      </c>
      <c r="Q160" s="1" t="s">
        <v>588</v>
      </c>
      <c r="U160">
        <v>0</v>
      </c>
      <c r="V160">
        <f>S183/4</f>
        <v>7.6146720889807201E-2</v>
      </c>
      <c r="W160">
        <v>5.8457700000000001E-2</v>
      </c>
      <c r="X160" s="3">
        <v>0.55913679000000005</v>
      </c>
    </row>
    <row r="161" spans="1:19" x14ac:dyDescent="0.2">
      <c r="A161">
        <v>2</v>
      </c>
      <c r="B161">
        <v>1</v>
      </c>
      <c r="C161">
        <v>171</v>
      </c>
      <c r="D161" t="s">
        <v>589</v>
      </c>
      <c r="E161" t="s">
        <v>407</v>
      </c>
      <c r="F161">
        <v>0.995</v>
      </c>
      <c r="G161">
        <v>10</v>
      </c>
      <c r="H161">
        <v>200</v>
      </c>
      <c r="I161">
        <v>2000</v>
      </c>
      <c r="J161">
        <v>39.85</v>
      </c>
      <c r="K161">
        <v>9.5570000000000004</v>
      </c>
      <c r="L161" s="1" t="s">
        <v>590</v>
      </c>
      <c r="M161">
        <v>9.3821603655599208</v>
      </c>
      <c r="N161" t="b">
        <v>0</v>
      </c>
      <c r="O161" s="1" t="s">
        <v>533</v>
      </c>
      <c r="P161" s="1">
        <v>8.7794343321459998</v>
      </c>
      <c r="Q161" s="1" t="s">
        <v>591</v>
      </c>
    </row>
    <row r="162" spans="1:19" x14ac:dyDescent="0.2">
      <c r="A162">
        <v>2</v>
      </c>
      <c r="B162">
        <v>1</v>
      </c>
      <c r="C162">
        <v>173</v>
      </c>
      <c r="D162" t="s">
        <v>592</v>
      </c>
      <c r="E162" t="s">
        <v>407</v>
      </c>
      <c r="F162">
        <v>0.995</v>
      </c>
      <c r="G162">
        <v>10</v>
      </c>
      <c r="H162">
        <v>200</v>
      </c>
      <c r="I162">
        <v>2000</v>
      </c>
      <c r="J162">
        <v>42.92</v>
      </c>
      <c r="K162">
        <v>9.3759999999999994</v>
      </c>
      <c r="L162" s="1" t="s">
        <v>593</v>
      </c>
      <c r="M162">
        <v>8.5424030500004999</v>
      </c>
      <c r="N162" t="b">
        <v>0</v>
      </c>
      <c r="O162" s="1" t="s">
        <v>533</v>
      </c>
      <c r="P162" s="1">
        <v>7.9830305080159603</v>
      </c>
      <c r="Q162" s="1" t="s">
        <v>594</v>
      </c>
    </row>
    <row r="163" spans="1:19" x14ac:dyDescent="0.2">
      <c r="A163">
        <v>2</v>
      </c>
      <c r="B163">
        <v>1</v>
      </c>
      <c r="C163">
        <v>174</v>
      </c>
      <c r="D163" t="s">
        <v>595</v>
      </c>
      <c r="E163" t="s">
        <v>407</v>
      </c>
      <c r="F163">
        <v>0.995</v>
      </c>
      <c r="G163">
        <v>10</v>
      </c>
      <c r="H163">
        <v>200</v>
      </c>
      <c r="I163">
        <v>2000</v>
      </c>
      <c r="J163">
        <v>37.729999999999997</v>
      </c>
      <c r="K163">
        <v>9.641</v>
      </c>
      <c r="L163" s="1" t="s">
        <v>596</v>
      </c>
      <c r="M163" s="1" t="s">
        <v>597</v>
      </c>
      <c r="N163" t="b">
        <v>0</v>
      </c>
      <c r="O163" s="1" t="s">
        <v>533</v>
      </c>
      <c r="P163" s="1">
        <v>9.3630109258102507</v>
      </c>
      <c r="Q163">
        <v>90.722400337423807</v>
      </c>
    </row>
    <row r="164" spans="1:19" x14ac:dyDescent="0.2">
      <c r="A164">
        <v>2</v>
      </c>
      <c r="B164">
        <v>1</v>
      </c>
      <c r="C164">
        <v>175</v>
      </c>
      <c r="D164" t="s">
        <v>598</v>
      </c>
      <c r="E164" t="s">
        <v>407</v>
      </c>
      <c r="F164">
        <v>0.995</v>
      </c>
      <c r="G164">
        <v>10</v>
      </c>
      <c r="H164">
        <v>200</v>
      </c>
      <c r="I164">
        <v>1600</v>
      </c>
      <c r="J164">
        <v>38.83</v>
      </c>
      <c r="K164">
        <v>9.9760000000000009</v>
      </c>
      <c r="L164" s="1" t="s">
        <v>599</v>
      </c>
      <c r="M164" s="1" t="s">
        <v>600</v>
      </c>
      <c r="N164" t="b">
        <v>0</v>
      </c>
      <c r="O164" s="1" t="s">
        <v>533</v>
      </c>
      <c r="P164" s="1">
        <v>9.43369070543452</v>
      </c>
      <c r="Q164" s="1" t="s">
        <v>601</v>
      </c>
      <c r="S164">
        <f>P164+P165+P166+P167+P168</f>
        <v>46.825327758423711</v>
      </c>
    </row>
    <row r="165" spans="1:19" x14ac:dyDescent="0.2">
      <c r="A165">
        <v>2</v>
      </c>
      <c r="B165">
        <v>1</v>
      </c>
      <c r="C165">
        <v>176</v>
      </c>
      <c r="D165" t="s">
        <v>602</v>
      </c>
      <c r="E165" t="s">
        <v>407</v>
      </c>
      <c r="F165">
        <v>0.995</v>
      </c>
      <c r="G165">
        <v>10</v>
      </c>
      <c r="H165">
        <v>200</v>
      </c>
      <c r="I165">
        <v>1600</v>
      </c>
      <c r="J165">
        <v>38.72</v>
      </c>
      <c r="K165">
        <v>9.8879999999999999</v>
      </c>
      <c r="L165" s="1" t="s">
        <v>603</v>
      </c>
      <c r="M165" s="1" t="s">
        <v>604</v>
      </c>
      <c r="N165" t="b">
        <v>0</v>
      </c>
      <c r="O165" s="1" t="s">
        <v>533</v>
      </c>
      <c r="P165">
        <v>9.3717304872902591</v>
      </c>
      <c r="Q165" s="1" t="s">
        <v>605</v>
      </c>
    </row>
    <row r="166" spans="1:19" x14ac:dyDescent="0.2">
      <c r="A166">
        <v>2</v>
      </c>
      <c r="B166">
        <v>1</v>
      </c>
      <c r="C166">
        <v>177</v>
      </c>
      <c r="D166" t="s">
        <v>606</v>
      </c>
      <c r="E166" t="s">
        <v>407</v>
      </c>
      <c r="F166">
        <v>0.995</v>
      </c>
      <c r="G166">
        <v>10</v>
      </c>
      <c r="H166">
        <v>200</v>
      </c>
      <c r="I166">
        <v>1600</v>
      </c>
      <c r="J166">
        <v>37.68</v>
      </c>
      <c r="K166">
        <v>10.119999999999999</v>
      </c>
      <c r="L166" s="1" t="s">
        <v>607</v>
      </c>
      <c r="M166" s="1" t="s">
        <v>608</v>
      </c>
      <c r="N166" t="b">
        <v>0</v>
      </c>
      <c r="O166" s="1" t="s">
        <v>533</v>
      </c>
      <c r="P166" s="1">
        <v>9.8730055540226207</v>
      </c>
      <c r="Q166" s="1" t="s">
        <v>609</v>
      </c>
    </row>
    <row r="167" spans="1:19" x14ac:dyDescent="0.2">
      <c r="A167">
        <v>2</v>
      </c>
      <c r="B167">
        <v>1</v>
      </c>
      <c r="C167">
        <v>178</v>
      </c>
      <c r="D167" t="s">
        <v>610</v>
      </c>
      <c r="E167" t="s">
        <v>407</v>
      </c>
      <c r="F167">
        <v>0.995</v>
      </c>
      <c r="G167">
        <v>10</v>
      </c>
      <c r="H167">
        <v>200</v>
      </c>
      <c r="I167">
        <v>1600</v>
      </c>
      <c r="J167">
        <v>43.81</v>
      </c>
      <c r="K167">
        <v>9.6310000000000002</v>
      </c>
      <c r="L167" s="1" t="s">
        <v>611</v>
      </c>
      <c r="M167" s="1" t="s">
        <v>612</v>
      </c>
      <c r="N167" t="b">
        <v>0</v>
      </c>
      <c r="O167" s="1" t="s">
        <v>533</v>
      </c>
      <c r="P167">
        <v>8.0475485000355107</v>
      </c>
      <c r="Q167">
        <v>77.895416687278399</v>
      </c>
    </row>
    <row r="168" spans="1:19" x14ac:dyDescent="0.2">
      <c r="A168">
        <v>2</v>
      </c>
      <c r="B168">
        <v>1</v>
      </c>
      <c r="C168">
        <v>179</v>
      </c>
      <c r="D168" t="s">
        <v>613</v>
      </c>
      <c r="E168" t="s">
        <v>407</v>
      </c>
      <c r="F168">
        <v>0.995</v>
      </c>
      <c r="G168">
        <v>10</v>
      </c>
      <c r="H168">
        <v>200</v>
      </c>
      <c r="I168">
        <v>1600</v>
      </c>
      <c r="J168">
        <v>38.15</v>
      </c>
      <c r="K168">
        <v>10.46</v>
      </c>
      <c r="L168" s="1" t="s">
        <v>614</v>
      </c>
      <c r="M168" s="1" t="s">
        <v>615</v>
      </c>
      <c r="N168" t="b">
        <v>0</v>
      </c>
      <c r="O168" s="1" t="s">
        <v>533</v>
      </c>
      <c r="P168" s="1">
        <v>10.099352511640801</v>
      </c>
      <c r="Q168" s="1" t="s">
        <v>616</v>
      </c>
    </row>
    <row r="169" spans="1:19" x14ac:dyDescent="0.2">
      <c r="A169">
        <v>2</v>
      </c>
      <c r="B169">
        <v>1</v>
      </c>
      <c r="C169">
        <v>180</v>
      </c>
      <c r="D169" t="s">
        <v>617</v>
      </c>
      <c r="E169" t="s">
        <v>407</v>
      </c>
      <c r="F169">
        <v>0.995</v>
      </c>
      <c r="G169">
        <v>10</v>
      </c>
      <c r="H169">
        <v>200</v>
      </c>
      <c r="I169">
        <v>1200</v>
      </c>
      <c r="J169">
        <v>38.119999999999997</v>
      </c>
      <c r="K169">
        <v>9.3780000000000001</v>
      </c>
      <c r="L169" s="1" t="s">
        <v>618</v>
      </c>
      <c r="M169" s="1" t="s">
        <v>619</v>
      </c>
      <c r="N169" t="b">
        <v>0</v>
      </c>
      <c r="O169" s="1" t="s">
        <v>533</v>
      </c>
      <c r="P169" s="1">
        <v>8.9966350284997194</v>
      </c>
      <c r="Q169" s="1" t="s">
        <v>620</v>
      </c>
      <c r="S169">
        <f>P169+P170+P171+P172+P173</f>
        <v>48.559420414668523</v>
      </c>
    </row>
    <row r="170" spans="1:19" x14ac:dyDescent="0.2">
      <c r="A170">
        <v>2</v>
      </c>
      <c r="B170">
        <v>1</v>
      </c>
      <c r="C170">
        <v>181</v>
      </c>
      <c r="D170" t="s">
        <v>621</v>
      </c>
      <c r="E170" t="s">
        <v>407</v>
      </c>
      <c r="F170">
        <v>0.995</v>
      </c>
      <c r="G170">
        <v>10</v>
      </c>
      <c r="H170">
        <v>200</v>
      </c>
      <c r="I170">
        <v>1200</v>
      </c>
      <c r="J170">
        <v>40.46</v>
      </c>
      <c r="K170">
        <v>10.41</v>
      </c>
      <c r="L170" s="1" t="s">
        <v>622</v>
      </c>
      <c r="M170" s="1" t="s">
        <v>623</v>
      </c>
      <c r="N170" t="b">
        <v>0</v>
      </c>
      <c r="O170" s="1" t="s">
        <v>533</v>
      </c>
      <c r="P170" s="1">
        <v>9.4709782636985906</v>
      </c>
      <c r="Q170" s="1" t="s">
        <v>624</v>
      </c>
    </row>
    <row r="171" spans="1:19" x14ac:dyDescent="0.2">
      <c r="A171">
        <v>2</v>
      </c>
      <c r="B171">
        <v>1</v>
      </c>
      <c r="C171">
        <v>182</v>
      </c>
      <c r="D171" t="s">
        <v>625</v>
      </c>
      <c r="E171" t="s">
        <v>407</v>
      </c>
      <c r="F171">
        <v>0.995</v>
      </c>
      <c r="G171">
        <v>10</v>
      </c>
      <c r="H171">
        <v>200</v>
      </c>
      <c r="I171">
        <v>1200</v>
      </c>
      <c r="J171">
        <v>38.590000000000003</v>
      </c>
      <c r="K171">
        <v>11.03</v>
      </c>
      <c r="L171" s="1" t="s">
        <v>626</v>
      </c>
      <c r="M171" s="1" t="s">
        <v>627</v>
      </c>
      <c r="N171" t="b">
        <v>0</v>
      </c>
      <c r="O171" s="1" t="s">
        <v>533</v>
      </c>
      <c r="P171" s="1">
        <v>10.561439435474799</v>
      </c>
      <c r="Q171" s="1" t="s">
        <v>628</v>
      </c>
    </row>
    <row r="172" spans="1:19" x14ac:dyDescent="0.2">
      <c r="A172">
        <v>2</v>
      </c>
      <c r="B172">
        <v>1</v>
      </c>
      <c r="C172">
        <v>183</v>
      </c>
      <c r="D172" t="s">
        <v>629</v>
      </c>
      <c r="E172" t="s">
        <v>407</v>
      </c>
      <c r="F172">
        <v>0.995</v>
      </c>
      <c r="G172">
        <v>10</v>
      </c>
      <c r="H172">
        <v>200</v>
      </c>
      <c r="I172">
        <v>1200</v>
      </c>
      <c r="J172">
        <v>37.57</v>
      </c>
      <c r="K172">
        <v>10.55</v>
      </c>
      <c r="L172" s="1" t="s">
        <v>630</v>
      </c>
      <c r="M172" s="1" t="s">
        <v>631</v>
      </c>
      <c r="N172" t="b">
        <v>0</v>
      </c>
      <c r="O172" s="1" t="s">
        <v>533</v>
      </c>
      <c r="P172" s="1">
        <v>10.350012833998001</v>
      </c>
      <c r="Q172" s="1" t="s">
        <v>632</v>
      </c>
    </row>
    <row r="173" spans="1:19" x14ac:dyDescent="0.2">
      <c r="A173">
        <v>2</v>
      </c>
      <c r="B173">
        <v>1</v>
      </c>
      <c r="C173">
        <v>184</v>
      </c>
      <c r="D173" t="s">
        <v>633</v>
      </c>
      <c r="E173" t="s">
        <v>407</v>
      </c>
      <c r="F173">
        <v>0.995</v>
      </c>
      <c r="G173">
        <v>10</v>
      </c>
      <c r="H173">
        <v>200</v>
      </c>
      <c r="I173">
        <v>1200</v>
      </c>
      <c r="J173">
        <v>39.950000000000003</v>
      </c>
      <c r="K173">
        <v>9.9890000000000008</v>
      </c>
      <c r="L173" s="1" t="s">
        <v>634</v>
      </c>
      <c r="M173" s="1" t="s">
        <v>635</v>
      </c>
      <c r="N173" t="b">
        <v>0</v>
      </c>
      <c r="O173" s="1" t="s">
        <v>533</v>
      </c>
      <c r="P173">
        <v>9.1803548529974108</v>
      </c>
      <c r="Q173" s="1" t="s">
        <v>636</v>
      </c>
    </row>
    <row r="174" spans="1:19" x14ac:dyDescent="0.2">
      <c r="A174">
        <v>2</v>
      </c>
      <c r="B174">
        <v>1</v>
      </c>
      <c r="C174">
        <v>185</v>
      </c>
      <c r="D174" t="s">
        <v>637</v>
      </c>
      <c r="E174" t="s">
        <v>407</v>
      </c>
      <c r="F174">
        <v>0.995</v>
      </c>
      <c r="G174">
        <v>10</v>
      </c>
      <c r="H174">
        <v>200</v>
      </c>
      <c r="I174">
        <v>800</v>
      </c>
      <c r="J174">
        <v>41.33</v>
      </c>
      <c r="K174">
        <v>10.58</v>
      </c>
      <c r="L174" s="1" t="s">
        <v>638</v>
      </c>
      <c r="M174" s="1" t="s">
        <v>639</v>
      </c>
      <c r="N174" t="b">
        <v>0</v>
      </c>
      <c r="O174" s="1" t="s">
        <v>533</v>
      </c>
      <c r="P174" s="1">
        <v>9.4313325962029992</v>
      </c>
      <c r="Q174" s="1" t="s">
        <v>640</v>
      </c>
      <c r="S174">
        <f>P174+P175+P176+P177+P178</f>
        <v>46.601435222938115</v>
      </c>
    </row>
    <row r="175" spans="1:19" x14ac:dyDescent="0.2">
      <c r="A175">
        <v>2</v>
      </c>
      <c r="B175">
        <v>1</v>
      </c>
      <c r="C175">
        <v>186</v>
      </c>
      <c r="D175" t="s">
        <v>641</v>
      </c>
      <c r="E175" t="s">
        <v>407</v>
      </c>
      <c r="F175">
        <v>0.995</v>
      </c>
      <c r="G175">
        <v>10</v>
      </c>
      <c r="H175">
        <v>200</v>
      </c>
      <c r="I175">
        <v>800</v>
      </c>
      <c r="J175">
        <v>39.31</v>
      </c>
      <c r="K175">
        <v>9.7959999999999994</v>
      </c>
      <c r="L175" s="1" t="s">
        <v>642</v>
      </c>
      <c r="M175" s="1" t="s">
        <v>643</v>
      </c>
      <c r="N175" t="b">
        <v>0</v>
      </c>
      <c r="O175" s="1" t="s">
        <v>533</v>
      </c>
      <c r="P175" s="1">
        <v>9.1386453588324397</v>
      </c>
      <c r="Q175" s="1" t="s">
        <v>644</v>
      </c>
    </row>
    <row r="176" spans="1:19" x14ac:dyDescent="0.2">
      <c r="A176">
        <v>2</v>
      </c>
      <c r="B176">
        <v>1</v>
      </c>
      <c r="C176">
        <v>187</v>
      </c>
      <c r="D176" t="s">
        <v>645</v>
      </c>
      <c r="E176" t="s">
        <v>407</v>
      </c>
      <c r="F176">
        <v>0.995</v>
      </c>
      <c r="G176">
        <v>10</v>
      </c>
      <c r="H176">
        <v>200</v>
      </c>
      <c r="I176">
        <v>800</v>
      </c>
      <c r="J176">
        <v>37.92</v>
      </c>
      <c r="K176">
        <v>9.5649999999999995</v>
      </c>
      <c r="L176" s="1" t="s">
        <v>646</v>
      </c>
      <c r="M176">
        <v>9.8709657650888598</v>
      </c>
      <c r="N176" t="b">
        <v>0</v>
      </c>
      <c r="O176" s="1" t="s">
        <v>533</v>
      </c>
      <c r="P176" s="1">
        <v>9.2373684099602098</v>
      </c>
      <c r="Q176" s="1" t="s">
        <v>647</v>
      </c>
    </row>
    <row r="177" spans="1:24" x14ac:dyDescent="0.2">
      <c r="A177">
        <v>2</v>
      </c>
      <c r="B177">
        <v>1</v>
      </c>
      <c r="C177">
        <v>188</v>
      </c>
      <c r="D177" t="s">
        <v>648</v>
      </c>
      <c r="E177" t="s">
        <v>407</v>
      </c>
      <c r="F177">
        <v>0.995</v>
      </c>
      <c r="G177">
        <v>10</v>
      </c>
      <c r="H177">
        <v>200</v>
      </c>
      <c r="I177">
        <v>800</v>
      </c>
      <c r="J177">
        <v>37.229999999999997</v>
      </c>
      <c r="K177">
        <v>9.4870000000000001</v>
      </c>
      <c r="L177" s="1" t="s">
        <v>649</v>
      </c>
      <c r="M177" s="1" t="s">
        <v>650</v>
      </c>
      <c r="N177" t="b">
        <v>0</v>
      </c>
      <c r="O177" s="1" t="s">
        <v>533</v>
      </c>
      <c r="P177">
        <v>9.3276783562253893</v>
      </c>
      <c r="Q177" s="1" t="s">
        <v>651</v>
      </c>
    </row>
    <row r="178" spans="1:24" x14ac:dyDescent="0.2">
      <c r="A178">
        <v>2</v>
      </c>
      <c r="B178">
        <v>1</v>
      </c>
      <c r="C178">
        <v>189</v>
      </c>
      <c r="D178" t="s">
        <v>652</v>
      </c>
      <c r="E178" t="s">
        <v>407</v>
      </c>
      <c r="F178">
        <v>0.995</v>
      </c>
      <c r="G178">
        <v>10</v>
      </c>
      <c r="H178">
        <v>200</v>
      </c>
      <c r="I178">
        <v>800</v>
      </c>
      <c r="J178">
        <v>39.74</v>
      </c>
      <c r="K178">
        <v>10.23</v>
      </c>
      <c r="L178" s="1" t="s">
        <v>653</v>
      </c>
      <c r="M178" s="1" t="s">
        <v>654</v>
      </c>
      <c r="N178" t="b">
        <v>0</v>
      </c>
      <c r="O178" s="1" t="s">
        <v>533</v>
      </c>
      <c r="P178" s="1">
        <v>9.4664105017170694</v>
      </c>
      <c r="Q178" s="1" t="s">
        <v>655</v>
      </c>
    </row>
    <row r="179" spans="1:24" x14ac:dyDescent="0.2">
      <c r="A179">
        <v>2</v>
      </c>
      <c r="B179">
        <v>1</v>
      </c>
      <c r="C179">
        <v>191</v>
      </c>
      <c r="D179" t="s">
        <v>656</v>
      </c>
      <c r="E179" t="s">
        <v>407</v>
      </c>
      <c r="F179">
        <v>0.995</v>
      </c>
      <c r="G179">
        <v>10</v>
      </c>
      <c r="H179">
        <v>200</v>
      </c>
      <c r="I179">
        <v>4000</v>
      </c>
      <c r="J179">
        <v>39.57</v>
      </c>
      <c r="K179">
        <v>9.5310000000000006</v>
      </c>
      <c r="L179" s="1" t="s">
        <v>557</v>
      </c>
      <c r="M179">
        <v>9.4232465895290005</v>
      </c>
      <c r="N179" t="b">
        <v>0</v>
      </c>
      <c r="O179" s="1" t="s">
        <v>533</v>
      </c>
      <c r="P179" s="1">
        <v>8.8162297058345391</v>
      </c>
      <c r="Q179" s="1" t="s">
        <v>657</v>
      </c>
      <c r="S179">
        <f>P179+P180+P181+P182</f>
        <v>37.332948554858177</v>
      </c>
    </row>
    <row r="180" spans="1:24" x14ac:dyDescent="0.2">
      <c r="A180">
        <v>2</v>
      </c>
      <c r="B180">
        <v>1</v>
      </c>
      <c r="C180">
        <v>192</v>
      </c>
      <c r="D180" t="s">
        <v>658</v>
      </c>
      <c r="E180" t="s">
        <v>407</v>
      </c>
      <c r="F180">
        <v>0.995</v>
      </c>
      <c r="G180">
        <v>10</v>
      </c>
      <c r="H180">
        <v>200</v>
      </c>
      <c r="I180">
        <v>4000</v>
      </c>
      <c r="J180">
        <v>38.479999999999997</v>
      </c>
      <c r="K180">
        <v>9.968</v>
      </c>
      <c r="L180">
        <v>1.0168756432000301</v>
      </c>
      <c r="M180">
        <v>10.1362164114179</v>
      </c>
      <c r="N180" t="b">
        <v>0</v>
      </c>
      <c r="O180" s="1" t="s">
        <v>533</v>
      </c>
      <c r="P180" s="1">
        <v>9.5118974440968795</v>
      </c>
      <c r="Q180" s="1" t="s">
        <v>659</v>
      </c>
    </row>
    <row r="181" spans="1:24" x14ac:dyDescent="0.2">
      <c r="A181">
        <v>2</v>
      </c>
      <c r="B181">
        <v>1</v>
      </c>
      <c r="C181">
        <v>193</v>
      </c>
      <c r="D181" t="s">
        <v>660</v>
      </c>
      <c r="E181" t="s">
        <v>407</v>
      </c>
      <c r="F181">
        <v>0.995</v>
      </c>
      <c r="G181">
        <v>10</v>
      </c>
      <c r="H181">
        <v>200</v>
      </c>
      <c r="I181">
        <v>4000</v>
      </c>
      <c r="J181">
        <v>39.22</v>
      </c>
      <c r="K181">
        <v>10.68</v>
      </c>
      <c r="L181" s="1" t="s">
        <v>661</v>
      </c>
      <c r="M181" s="1" t="s">
        <v>662</v>
      </c>
      <c r="N181" t="b">
        <v>0</v>
      </c>
      <c r="O181" s="1" t="s">
        <v>533</v>
      </c>
      <c r="P181" s="1">
        <v>10.041598183995699</v>
      </c>
      <c r="Q181" s="1" t="s">
        <v>663</v>
      </c>
    </row>
    <row r="182" spans="1:24" x14ac:dyDescent="0.2">
      <c r="A182">
        <v>2</v>
      </c>
      <c r="B182">
        <v>1</v>
      </c>
      <c r="C182">
        <v>194</v>
      </c>
      <c r="D182" t="s">
        <v>664</v>
      </c>
      <c r="E182" t="s">
        <v>407</v>
      </c>
      <c r="F182">
        <v>0.995</v>
      </c>
      <c r="G182">
        <v>10</v>
      </c>
      <c r="H182">
        <v>200</v>
      </c>
      <c r="I182">
        <v>4000</v>
      </c>
      <c r="J182">
        <v>39.22</v>
      </c>
      <c r="K182">
        <v>9.5990000000000002</v>
      </c>
      <c r="L182" s="1" t="s">
        <v>661</v>
      </c>
      <c r="M182">
        <v>9.5756903519503194</v>
      </c>
      <c r="N182" t="b">
        <v>0</v>
      </c>
      <c r="O182" s="1" t="s">
        <v>533</v>
      </c>
      <c r="P182" s="1">
        <v>8.9632232209310594</v>
      </c>
      <c r="Q182">
        <v>86.470331354489701</v>
      </c>
    </row>
    <row r="183" spans="1:24" x14ac:dyDescent="0.2">
      <c r="A183">
        <v>2</v>
      </c>
      <c r="B183">
        <v>1</v>
      </c>
      <c r="C183">
        <v>195</v>
      </c>
      <c r="D183" t="s">
        <v>665</v>
      </c>
      <c r="E183" t="s">
        <v>407</v>
      </c>
      <c r="F183">
        <v>0.995</v>
      </c>
      <c r="G183">
        <v>10</v>
      </c>
      <c r="H183">
        <v>200</v>
      </c>
      <c r="I183">
        <v>0</v>
      </c>
      <c r="J183">
        <v>38.880000000000003</v>
      </c>
      <c r="K183">
        <v>0.59640000000000004</v>
      </c>
      <c r="L183" s="1" t="s">
        <v>666</v>
      </c>
      <c r="M183" s="1" t="s">
        <v>667</v>
      </c>
      <c r="N183" t="b">
        <v>1</v>
      </c>
      <c r="O183" s="1" t="s">
        <v>533</v>
      </c>
      <c r="P183">
        <v>1.7669510869090198E-2</v>
      </c>
      <c r="Q183">
        <v>1.0591051540025501E-2</v>
      </c>
      <c r="S183">
        <f>P183+P184+P185+P186</f>
        <v>0.3045868835592288</v>
      </c>
    </row>
    <row r="184" spans="1:24" x14ac:dyDescent="0.2">
      <c r="A184">
        <v>2</v>
      </c>
      <c r="B184">
        <v>1</v>
      </c>
      <c r="C184">
        <v>196</v>
      </c>
      <c r="D184" t="s">
        <v>668</v>
      </c>
      <c r="E184" t="s">
        <v>407</v>
      </c>
      <c r="F184">
        <v>0.995</v>
      </c>
      <c r="G184">
        <v>10</v>
      </c>
      <c r="H184">
        <v>200</v>
      </c>
      <c r="I184">
        <v>0</v>
      </c>
      <c r="J184">
        <v>41.82</v>
      </c>
      <c r="K184">
        <v>0.5696</v>
      </c>
      <c r="L184" s="1" t="s">
        <v>669</v>
      </c>
      <c r="M184" s="1" t="s">
        <v>670</v>
      </c>
      <c r="N184" t="b">
        <v>1</v>
      </c>
      <c r="O184" s="1" t="s">
        <v>533</v>
      </c>
      <c r="P184">
        <v>4.1483403629524199E-2</v>
      </c>
      <c r="Q184">
        <v>2.3747685133042099E-2</v>
      </c>
    </row>
    <row r="185" spans="1:24" x14ac:dyDescent="0.2">
      <c r="A185">
        <v>2</v>
      </c>
      <c r="B185">
        <v>1</v>
      </c>
      <c r="C185">
        <v>197</v>
      </c>
      <c r="D185" t="s">
        <v>671</v>
      </c>
      <c r="E185" t="s">
        <v>407</v>
      </c>
      <c r="F185">
        <v>0.995</v>
      </c>
      <c r="G185">
        <v>10</v>
      </c>
      <c r="H185">
        <v>200</v>
      </c>
      <c r="I185">
        <v>0</v>
      </c>
      <c r="J185">
        <v>43.23</v>
      </c>
      <c r="K185">
        <v>0.50639999999999996</v>
      </c>
      <c r="L185" s="1" t="s">
        <v>672</v>
      </c>
      <c r="M185" s="1" t="s">
        <v>673</v>
      </c>
      <c r="N185" t="b">
        <v>1</v>
      </c>
      <c r="O185" s="1" t="s">
        <v>533</v>
      </c>
      <c r="P185">
        <v>9.7288686126938403E-2</v>
      </c>
      <c r="Q185">
        <v>4.9514563472041799E-2</v>
      </c>
    </row>
    <row r="186" spans="1:24" x14ac:dyDescent="0.2">
      <c r="A186">
        <v>2</v>
      </c>
      <c r="B186">
        <v>1</v>
      </c>
      <c r="C186">
        <v>198</v>
      </c>
      <c r="D186" t="s">
        <v>674</v>
      </c>
      <c r="E186" t="s">
        <v>407</v>
      </c>
      <c r="F186">
        <v>0.995</v>
      </c>
      <c r="G186">
        <v>10</v>
      </c>
      <c r="H186">
        <v>200</v>
      </c>
      <c r="I186">
        <v>0</v>
      </c>
      <c r="J186">
        <v>37.79</v>
      </c>
      <c r="K186">
        <v>0.47089999999999999</v>
      </c>
      <c r="L186" s="1" t="s">
        <v>675</v>
      </c>
      <c r="M186" s="1" t="s">
        <v>676</v>
      </c>
      <c r="N186" t="b">
        <v>1</v>
      </c>
      <c r="O186" s="1" t="s">
        <v>533</v>
      </c>
      <c r="P186">
        <v>0.14814528293367599</v>
      </c>
      <c r="Q186">
        <v>7.0112174606500793E-2</v>
      </c>
      <c r="V186">
        <v>0</v>
      </c>
      <c r="W186">
        <f>AVERAGE(P227:P231)</f>
        <v>5.6206937140110713E-2</v>
      </c>
      <c r="X186">
        <f>_xlfn.STDEV.S(P227:P231)</f>
        <v>7.8697380985149293E-2</v>
      </c>
    </row>
    <row r="187" spans="1:24" x14ac:dyDescent="0.2">
      <c r="A187">
        <v>2</v>
      </c>
      <c r="B187">
        <v>1</v>
      </c>
      <c r="C187">
        <v>210</v>
      </c>
      <c r="D187" t="s">
        <v>677</v>
      </c>
      <c r="E187" t="s">
        <v>678</v>
      </c>
      <c r="F187">
        <v>1.004</v>
      </c>
      <c r="G187">
        <v>0.06</v>
      </c>
      <c r="H187">
        <v>200</v>
      </c>
      <c r="I187">
        <v>0.06</v>
      </c>
      <c r="J187">
        <v>38.83</v>
      </c>
      <c r="K187">
        <v>35.700000000000003</v>
      </c>
      <c r="L187" s="1" t="s">
        <v>599</v>
      </c>
      <c r="M187">
        <v>35.9732160234704</v>
      </c>
      <c r="N187" t="b">
        <v>0</v>
      </c>
      <c r="O187" s="1" t="s">
        <v>533</v>
      </c>
      <c r="P187" s="1">
        <v>35.3545593045312</v>
      </c>
      <c r="Q187" s="1" t="s">
        <v>679</v>
      </c>
      <c r="S187">
        <f>P187+P188+P189+P190+P191</f>
        <v>186.10892630579372</v>
      </c>
      <c r="V187">
        <v>60</v>
      </c>
      <c r="W187">
        <v>37.221784999999997</v>
      </c>
      <c r="X187">
        <f>_xlfn.STDEV.S(P187:P191)</f>
        <v>2.5745111518089216</v>
      </c>
    </row>
    <row r="188" spans="1:24" x14ac:dyDescent="0.2">
      <c r="A188">
        <v>2</v>
      </c>
      <c r="B188">
        <v>1</v>
      </c>
      <c r="C188">
        <v>211</v>
      </c>
      <c r="D188" t="s">
        <v>680</v>
      </c>
      <c r="E188" t="s">
        <v>678</v>
      </c>
      <c r="F188">
        <v>1.004</v>
      </c>
      <c r="G188">
        <v>0.06</v>
      </c>
      <c r="H188">
        <v>200</v>
      </c>
      <c r="I188">
        <v>0.06</v>
      </c>
      <c r="J188">
        <v>40.61</v>
      </c>
      <c r="K188">
        <v>38.08</v>
      </c>
      <c r="L188" s="1" t="s">
        <v>681</v>
      </c>
      <c r="M188" s="1" t="s">
        <v>682</v>
      </c>
      <c r="N188" t="b">
        <v>0</v>
      </c>
      <c r="O188" s="1" t="s">
        <v>533</v>
      </c>
      <c r="P188" s="1">
        <v>36.088212692442099</v>
      </c>
      <c r="Q188" s="1" t="s">
        <v>683</v>
      </c>
      <c r="S188">
        <f>S187/5</f>
        <v>37.221785261158743</v>
      </c>
      <c r="V188">
        <v>100</v>
      </c>
      <c r="W188">
        <v>35.521472000000003</v>
      </c>
      <c r="X188">
        <f>_xlfn.STDEV.S(P192:P196)</f>
        <v>1.4623680637815459</v>
      </c>
    </row>
    <row r="189" spans="1:24" x14ac:dyDescent="0.2">
      <c r="A189">
        <v>2</v>
      </c>
      <c r="B189">
        <v>1</v>
      </c>
      <c r="C189">
        <v>212</v>
      </c>
      <c r="D189" t="s">
        <v>684</v>
      </c>
      <c r="E189" t="s">
        <v>678</v>
      </c>
      <c r="F189">
        <v>1.004</v>
      </c>
      <c r="G189">
        <v>0.06</v>
      </c>
      <c r="H189">
        <v>200</v>
      </c>
      <c r="I189">
        <v>0.06</v>
      </c>
      <c r="J189">
        <v>36.19</v>
      </c>
      <c r="K189">
        <v>33.61</v>
      </c>
      <c r="L189" s="1" t="s">
        <v>685</v>
      </c>
      <c r="M189" s="1" t="s">
        <v>686</v>
      </c>
      <c r="N189" t="b">
        <v>0</v>
      </c>
      <c r="O189" s="1" t="s">
        <v>533</v>
      </c>
      <c r="P189" s="1">
        <v>35.690117840202298</v>
      </c>
      <c r="Q189" s="1" t="s">
        <v>687</v>
      </c>
      <c r="V189">
        <v>150</v>
      </c>
      <c r="W189">
        <v>30.227936</v>
      </c>
      <c r="X189">
        <f>_xlfn.STDEV.S(P207:P211)</f>
        <v>1.6990681482490591</v>
      </c>
    </row>
    <row r="190" spans="1:24" x14ac:dyDescent="0.2">
      <c r="A190">
        <v>2</v>
      </c>
      <c r="B190">
        <v>1</v>
      </c>
      <c r="C190">
        <v>213</v>
      </c>
      <c r="D190" t="s">
        <v>688</v>
      </c>
      <c r="E190" t="s">
        <v>678</v>
      </c>
      <c r="F190">
        <v>1.004</v>
      </c>
      <c r="G190">
        <v>0.06</v>
      </c>
      <c r="H190">
        <v>200</v>
      </c>
      <c r="I190">
        <v>0.06</v>
      </c>
      <c r="J190">
        <v>36.96</v>
      </c>
      <c r="K190">
        <v>39.92</v>
      </c>
      <c r="L190" s="1" t="s">
        <v>689</v>
      </c>
      <c r="M190">
        <v>42.273979672582399</v>
      </c>
      <c r="N190" t="b">
        <v>0</v>
      </c>
      <c r="O190" s="1" t="s">
        <v>533</v>
      </c>
      <c r="P190" s="1">
        <v>41.623818116776597</v>
      </c>
      <c r="Q190" s="1" t="s">
        <v>690</v>
      </c>
      <c r="V190">
        <v>180</v>
      </c>
      <c r="W190">
        <v>27.378171999999999</v>
      </c>
      <c r="X190">
        <f>_xlfn.STDEV.S(P197:P201)</f>
        <v>1.0874388464696705</v>
      </c>
    </row>
    <row r="191" spans="1:24" x14ac:dyDescent="0.2">
      <c r="A191">
        <v>2</v>
      </c>
      <c r="B191">
        <v>1</v>
      </c>
      <c r="C191">
        <v>214</v>
      </c>
      <c r="D191" t="s">
        <v>691</v>
      </c>
      <c r="E191" t="s">
        <v>678</v>
      </c>
      <c r="F191">
        <v>1.004</v>
      </c>
      <c r="G191">
        <v>0.06</v>
      </c>
      <c r="H191">
        <v>200</v>
      </c>
      <c r="I191">
        <v>0.06</v>
      </c>
      <c r="J191">
        <v>39.4</v>
      </c>
      <c r="K191">
        <v>38.229999999999997</v>
      </c>
      <c r="L191">
        <v>0.99298640676449701</v>
      </c>
      <c r="M191" s="1" t="s">
        <v>692</v>
      </c>
      <c r="N191" t="b">
        <v>0</v>
      </c>
      <c r="O191" s="1" t="s">
        <v>533</v>
      </c>
      <c r="P191" s="1">
        <v>37.352218351841501</v>
      </c>
      <c r="Q191" s="1" t="s">
        <v>693</v>
      </c>
      <c r="V191">
        <v>220</v>
      </c>
      <c r="W191">
        <v>16.847006</v>
      </c>
      <c r="X191">
        <f>_xlfn.STDEV.S(P202:P206)</f>
        <v>1.0705705903914937</v>
      </c>
    </row>
    <row r="192" spans="1:24" x14ac:dyDescent="0.2">
      <c r="A192">
        <v>2</v>
      </c>
      <c r="B192">
        <v>1</v>
      </c>
      <c r="C192">
        <v>215</v>
      </c>
      <c r="D192" t="s">
        <v>694</v>
      </c>
      <c r="E192" t="s">
        <v>678</v>
      </c>
      <c r="F192">
        <v>1.002</v>
      </c>
      <c r="G192">
        <v>0.1</v>
      </c>
      <c r="H192">
        <v>200</v>
      </c>
      <c r="I192">
        <v>0.1</v>
      </c>
      <c r="J192">
        <v>40.85</v>
      </c>
      <c r="K192">
        <v>36.47</v>
      </c>
      <c r="L192" s="1" t="s">
        <v>695</v>
      </c>
      <c r="M192" s="1" t="s">
        <v>696</v>
      </c>
      <c r="N192" t="b">
        <v>0</v>
      </c>
      <c r="O192" s="1" t="s">
        <v>533</v>
      </c>
      <c r="P192" s="1">
        <v>34.3333141491958</v>
      </c>
      <c r="Q192" s="1" t="s">
        <v>697</v>
      </c>
      <c r="S192">
        <f>P192+P193+P194+P195+P196</f>
        <v>177.60735788195632</v>
      </c>
      <c r="V192">
        <v>6000</v>
      </c>
      <c r="W192">
        <v>9.6572875000000007</v>
      </c>
      <c r="X192">
        <f>_xlfn.STDEV.S(P212:P216)</f>
        <v>0.59056910912385785</v>
      </c>
    </row>
    <row r="193" spans="1:24" x14ac:dyDescent="0.2">
      <c r="A193">
        <v>2</v>
      </c>
      <c r="B193">
        <v>1</v>
      </c>
      <c r="C193">
        <v>216</v>
      </c>
      <c r="D193" t="s">
        <v>698</v>
      </c>
      <c r="E193" t="s">
        <v>678</v>
      </c>
      <c r="F193">
        <v>1.002</v>
      </c>
      <c r="G193">
        <v>0.1</v>
      </c>
      <c r="H193">
        <v>200</v>
      </c>
      <c r="I193">
        <v>0.1</v>
      </c>
      <c r="J193">
        <v>36.840000000000003</v>
      </c>
      <c r="K193">
        <v>35.07</v>
      </c>
      <c r="L193" s="1" t="s">
        <v>699</v>
      </c>
      <c r="M193" s="1" t="s">
        <v>700</v>
      </c>
      <c r="N193" t="b">
        <v>0</v>
      </c>
      <c r="O193" s="1" t="s">
        <v>533</v>
      </c>
      <c r="P193" s="1">
        <v>36.607455154548497</v>
      </c>
      <c r="Q193" s="1" t="s">
        <v>701</v>
      </c>
      <c r="S193">
        <f>S192/5</f>
        <v>35.521471576391264</v>
      </c>
      <c r="V193">
        <v>10000</v>
      </c>
      <c r="W193">
        <v>9.2638026999999994</v>
      </c>
      <c r="X193">
        <f>_xlfn.STDEV.S(P217:P221)</f>
        <v>0.23005169878830736</v>
      </c>
    </row>
    <row r="194" spans="1:24" x14ac:dyDescent="0.2">
      <c r="A194">
        <v>2</v>
      </c>
      <c r="B194">
        <v>1</v>
      </c>
      <c r="C194">
        <v>217</v>
      </c>
      <c r="D194" t="s">
        <v>702</v>
      </c>
      <c r="E194" t="s">
        <v>678</v>
      </c>
      <c r="F194">
        <v>1.002</v>
      </c>
      <c r="G194">
        <v>0.1</v>
      </c>
      <c r="H194">
        <v>200</v>
      </c>
      <c r="I194">
        <v>0.1</v>
      </c>
      <c r="J194">
        <v>40.11</v>
      </c>
      <c r="K194">
        <v>35.81</v>
      </c>
      <c r="L194" s="1" t="s">
        <v>703</v>
      </c>
      <c r="M194" s="1" t="s">
        <v>704</v>
      </c>
      <c r="N194" t="b">
        <v>0</v>
      </c>
      <c r="O194" s="1" t="s">
        <v>533</v>
      </c>
      <c r="P194" s="1">
        <v>34.326835486871097</v>
      </c>
      <c r="Q194" s="1" t="s">
        <v>705</v>
      </c>
      <c r="V194">
        <v>10000</v>
      </c>
      <c r="W194">
        <v>9.1742972999999992</v>
      </c>
      <c r="X194">
        <f>_xlfn.STDEV.S(P222:P226)</f>
        <v>0.32481463829243923</v>
      </c>
    </row>
    <row r="195" spans="1:24" x14ac:dyDescent="0.2">
      <c r="A195">
        <v>2</v>
      </c>
      <c r="B195">
        <v>1</v>
      </c>
      <c r="C195">
        <v>218</v>
      </c>
      <c r="D195" t="s">
        <v>706</v>
      </c>
      <c r="E195" t="s">
        <v>678</v>
      </c>
      <c r="F195">
        <v>1.002</v>
      </c>
      <c r="G195">
        <v>0.1</v>
      </c>
      <c r="H195">
        <v>200</v>
      </c>
      <c r="I195">
        <v>0.1</v>
      </c>
      <c r="J195">
        <v>39.06</v>
      </c>
      <c r="K195">
        <v>38.08</v>
      </c>
      <c r="L195" s="1" t="s">
        <v>707</v>
      </c>
      <c r="M195" s="1" t="s">
        <v>708</v>
      </c>
      <c r="N195" t="b">
        <v>0</v>
      </c>
      <c r="O195" s="1" t="s">
        <v>533</v>
      </c>
      <c r="P195" s="1">
        <v>37.529102357905103</v>
      </c>
      <c r="Q195" s="1" t="s">
        <v>709</v>
      </c>
    </row>
    <row r="196" spans="1:24" x14ac:dyDescent="0.2">
      <c r="A196">
        <v>2</v>
      </c>
      <c r="B196">
        <v>1</v>
      </c>
      <c r="C196">
        <v>219</v>
      </c>
      <c r="D196" t="s">
        <v>710</v>
      </c>
      <c r="E196" t="s">
        <v>678</v>
      </c>
      <c r="F196">
        <v>1.002</v>
      </c>
      <c r="G196">
        <v>0.1</v>
      </c>
      <c r="H196">
        <v>200</v>
      </c>
      <c r="I196">
        <v>0.1</v>
      </c>
      <c r="J196">
        <v>39.5</v>
      </c>
      <c r="K196">
        <v>35.76</v>
      </c>
      <c r="L196" s="1" t="s">
        <v>711</v>
      </c>
      <c r="M196">
        <v>35.418749892618301</v>
      </c>
      <c r="N196" t="b">
        <v>0</v>
      </c>
      <c r="O196" s="1" t="s">
        <v>533</v>
      </c>
      <c r="P196" s="1">
        <v>34.8106507334358</v>
      </c>
      <c r="Q196" s="1" t="s">
        <v>712</v>
      </c>
    </row>
    <row r="197" spans="1:24" x14ac:dyDescent="0.2">
      <c r="A197">
        <v>2</v>
      </c>
      <c r="B197">
        <v>1</v>
      </c>
      <c r="C197">
        <v>220</v>
      </c>
      <c r="D197" t="s">
        <v>713</v>
      </c>
      <c r="E197" t="s">
        <v>678</v>
      </c>
      <c r="F197">
        <v>1.006</v>
      </c>
      <c r="G197">
        <v>0.18</v>
      </c>
      <c r="H197">
        <v>200</v>
      </c>
      <c r="I197">
        <v>0.18</v>
      </c>
      <c r="J197">
        <v>38.85</v>
      </c>
      <c r="K197">
        <v>28.41</v>
      </c>
      <c r="L197" s="1" t="s">
        <v>714</v>
      </c>
      <c r="M197" s="1" t="s">
        <v>715</v>
      </c>
      <c r="N197" t="b">
        <v>0</v>
      </c>
      <c r="O197" s="1" t="s">
        <v>533</v>
      </c>
      <c r="P197" s="1">
        <v>27.994259940187501</v>
      </c>
      <c r="Q197" s="1" t="s">
        <v>716</v>
      </c>
      <c r="S197">
        <f>P197+P198+P199+P200+P201</f>
        <v>136.89085780270221</v>
      </c>
    </row>
    <row r="198" spans="1:24" x14ac:dyDescent="0.2">
      <c r="A198">
        <v>2</v>
      </c>
      <c r="B198">
        <v>1</v>
      </c>
      <c r="C198">
        <v>221</v>
      </c>
      <c r="D198" t="s">
        <v>717</v>
      </c>
      <c r="E198" t="s">
        <v>678</v>
      </c>
      <c r="F198">
        <v>1.006</v>
      </c>
      <c r="G198">
        <v>0.18</v>
      </c>
      <c r="H198">
        <v>200</v>
      </c>
      <c r="I198">
        <v>0.18</v>
      </c>
      <c r="J198">
        <v>39.57</v>
      </c>
      <c r="K198">
        <v>27.19</v>
      </c>
      <c r="L198" s="1" t="s">
        <v>557</v>
      </c>
      <c r="M198" s="1" t="s">
        <v>718</v>
      </c>
      <c r="N198" t="b">
        <v>0</v>
      </c>
      <c r="O198" s="1" t="s">
        <v>533</v>
      </c>
      <c r="P198" s="1">
        <v>26.275584602958901</v>
      </c>
      <c r="Q198" s="1" t="s">
        <v>719</v>
      </c>
      <c r="S198">
        <f>S197/5</f>
        <v>27.378171560540444</v>
      </c>
    </row>
    <row r="199" spans="1:24" x14ac:dyDescent="0.2">
      <c r="A199">
        <v>2</v>
      </c>
      <c r="B199">
        <v>1</v>
      </c>
      <c r="C199">
        <v>222</v>
      </c>
      <c r="D199" t="s">
        <v>720</v>
      </c>
      <c r="E199" t="s">
        <v>678</v>
      </c>
      <c r="F199">
        <v>1.006</v>
      </c>
      <c r="G199">
        <v>0.18</v>
      </c>
      <c r="H199">
        <v>200</v>
      </c>
      <c r="I199">
        <v>0.18</v>
      </c>
      <c r="J199">
        <v>39.340000000000003</v>
      </c>
      <c r="K199">
        <v>28.57</v>
      </c>
      <c r="L199" s="1" t="s">
        <v>721</v>
      </c>
      <c r="M199" s="1" t="s">
        <v>722</v>
      </c>
      <c r="N199" t="b">
        <v>0</v>
      </c>
      <c r="O199" s="1" t="s">
        <v>533</v>
      </c>
      <c r="P199" s="1">
        <v>27.802567028284098</v>
      </c>
      <c r="Q199" s="1" t="s">
        <v>723</v>
      </c>
    </row>
    <row r="200" spans="1:24" x14ac:dyDescent="0.2">
      <c r="A200">
        <v>2</v>
      </c>
      <c r="B200">
        <v>1</v>
      </c>
      <c r="C200">
        <v>223</v>
      </c>
      <c r="D200" t="s">
        <v>724</v>
      </c>
      <c r="E200" t="s">
        <v>678</v>
      </c>
      <c r="F200">
        <v>1.006</v>
      </c>
      <c r="G200">
        <v>0.18</v>
      </c>
      <c r="H200">
        <v>200</v>
      </c>
      <c r="I200">
        <v>0.18</v>
      </c>
      <c r="J200">
        <v>38.950000000000003</v>
      </c>
      <c r="K200">
        <v>26.69</v>
      </c>
      <c r="L200" s="1" t="s">
        <v>725</v>
      </c>
      <c r="M200" s="1" t="s">
        <v>726</v>
      </c>
      <c r="N200" t="b">
        <v>0</v>
      </c>
      <c r="O200" s="1" t="s">
        <v>533</v>
      </c>
      <c r="P200" s="1">
        <v>26.194153122283399</v>
      </c>
      <c r="Q200" s="1" t="s">
        <v>727</v>
      </c>
    </row>
    <row r="201" spans="1:24" x14ac:dyDescent="0.2">
      <c r="A201">
        <v>2</v>
      </c>
      <c r="B201">
        <v>1</v>
      </c>
      <c r="C201">
        <v>224</v>
      </c>
      <c r="D201" t="s">
        <v>728</v>
      </c>
      <c r="E201" t="s">
        <v>678</v>
      </c>
      <c r="F201">
        <v>1.006</v>
      </c>
      <c r="G201">
        <v>0.18</v>
      </c>
      <c r="H201">
        <v>200</v>
      </c>
      <c r="I201">
        <v>0.18</v>
      </c>
      <c r="J201">
        <v>40.69</v>
      </c>
      <c r="K201">
        <v>30.39</v>
      </c>
      <c r="L201" s="1" t="s">
        <v>729</v>
      </c>
      <c r="M201" s="1" t="s">
        <v>730</v>
      </c>
      <c r="N201" t="b">
        <v>0</v>
      </c>
      <c r="O201" s="1" t="s">
        <v>533</v>
      </c>
      <c r="P201">
        <v>28.624293108988301</v>
      </c>
      <c r="Q201" s="1" t="s">
        <v>731</v>
      </c>
    </row>
    <row r="202" spans="1:24" x14ac:dyDescent="0.2">
      <c r="A202">
        <v>2</v>
      </c>
      <c r="B202">
        <v>1</v>
      </c>
      <c r="C202">
        <v>225</v>
      </c>
      <c r="D202" t="s">
        <v>732</v>
      </c>
      <c r="E202" t="s">
        <v>678</v>
      </c>
      <c r="F202">
        <v>1.0029999999999999</v>
      </c>
      <c r="G202">
        <v>0.22</v>
      </c>
      <c r="H202">
        <v>200</v>
      </c>
      <c r="I202">
        <v>0.22</v>
      </c>
      <c r="J202">
        <v>40.06</v>
      </c>
      <c r="K202">
        <v>17.78</v>
      </c>
      <c r="L202" s="1" t="s">
        <v>733</v>
      </c>
      <c r="M202" s="1" t="s">
        <v>734</v>
      </c>
      <c r="N202" t="b">
        <v>0</v>
      </c>
      <c r="O202" s="1" t="s">
        <v>533</v>
      </c>
      <c r="P202" s="1">
        <v>16.7631286670157</v>
      </c>
      <c r="Q202" s="1" t="s">
        <v>735</v>
      </c>
      <c r="S202">
        <f>P202+P203+P204+P205+P206</f>
        <v>84.235030013526</v>
      </c>
    </row>
    <row r="203" spans="1:24" x14ac:dyDescent="0.2">
      <c r="A203">
        <v>2</v>
      </c>
      <c r="B203">
        <v>1</v>
      </c>
      <c r="C203">
        <v>226</v>
      </c>
      <c r="D203" t="s">
        <v>736</v>
      </c>
      <c r="E203" t="s">
        <v>678</v>
      </c>
      <c r="F203">
        <v>1.0029999999999999</v>
      </c>
      <c r="G203">
        <v>0.22</v>
      </c>
      <c r="H203">
        <v>200</v>
      </c>
      <c r="I203">
        <v>0.22</v>
      </c>
      <c r="J203">
        <v>38.26</v>
      </c>
      <c r="K203">
        <v>16.48</v>
      </c>
      <c r="L203" s="1" t="s">
        <v>737</v>
      </c>
      <c r="M203" s="1" t="s">
        <v>738</v>
      </c>
      <c r="N203" t="b">
        <v>0</v>
      </c>
      <c r="O203" s="1" t="s">
        <v>533</v>
      </c>
      <c r="P203" s="1">
        <v>16.2271462858596</v>
      </c>
      <c r="Q203" s="1" t="s">
        <v>739</v>
      </c>
      <c r="S203">
        <f>S202/5</f>
        <v>16.8470060027052</v>
      </c>
    </row>
    <row r="204" spans="1:24" x14ac:dyDescent="0.2">
      <c r="A204">
        <v>2</v>
      </c>
      <c r="B204">
        <v>1</v>
      </c>
      <c r="C204">
        <v>227</v>
      </c>
      <c r="D204" t="s">
        <v>740</v>
      </c>
      <c r="E204" t="s">
        <v>678</v>
      </c>
      <c r="F204">
        <v>1.0029999999999999</v>
      </c>
      <c r="G204">
        <v>0.22</v>
      </c>
      <c r="H204">
        <v>200</v>
      </c>
      <c r="I204">
        <v>0.22</v>
      </c>
      <c r="J204">
        <v>39.61</v>
      </c>
      <c r="K204">
        <v>16.25</v>
      </c>
      <c r="L204" s="1" t="s">
        <v>741</v>
      </c>
      <c r="M204" s="1" t="s">
        <v>742</v>
      </c>
      <c r="N204" t="b">
        <v>0</v>
      </c>
      <c r="O204" s="1" t="s">
        <v>533</v>
      </c>
      <c r="P204" s="1">
        <v>15.443561303313199</v>
      </c>
      <c r="Q204" s="1" t="s">
        <v>743</v>
      </c>
    </row>
    <row r="205" spans="1:24" x14ac:dyDescent="0.2">
      <c r="A205">
        <v>2</v>
      </c>
      <c r="B205">
        <v>1</v>
      </c>
      <c r="C205">
        <v>228</v>
      </c>
      <c r="D205" t="s">
        <v>744</v>
      </c>
      <c r="E205" t="s">
        <v>678</v>
      </c>
      <c r="F205">
        <v>1.0029999999999999</v>
      </c>
      <c r="G205">
        <v>0.22</v>
      </c>
      <c r="H205">
        <v>200</v>
      </c>
      <c r="I205">
        <v>0.22</v>
      </c>
      <c r="J205">
        <v>37.92</v>
      </c>
      <c r="K205">
        <v>18</v>
      </c>
      <c r="L205" s="1" t="s">
        <v>646</v>
      </c>
      <c r="M205" s="1" t="s">
        <v>745</v>
      </c>
      <c r="N205" t="b">
        <v>0</v>
      </c>
      <c r="O205" s="1" t="s">
        <v>533</v>
      </c>
      <c r="P205" s="1">
        <v>17.9421876706527</v>
      </c>
      <c r="Q205" s="1" t="s">
        <v>746</v>
      </c>
    </row>
    <row r="206" spans="1:24" x14ac:dyDescent="0.2">
      <c r="A206">
        <v>2</v>
      </c>
      <c r="B206">
        <v>1</v>
      </c>
      <c r="C206">
        <v>229</v>
      </c>
      <c r="D206" t="s">
        <v>747</v>
      </c>
      <c r="E206" t="s">
        <v>678</v>
      </c>
      <c r="F206">
        <v>1.0029999999999999</v>
      </c>
      <c r="G206">
        <v>0.22</v>
      </c>
      <c r="H206">
        <v>200</v>
      </c>
      <c r="I206">
        <v>0.22</v>
      </c>
      <c r="J206">
        <v>41.71</v>
      </c>
      <c r="K206">
        <v>19.66</v>
      </c>
      <c r="L206" s="1" t="s">
        <v>748</v>
      </c>
      <c r="M206" s="1" t="s">
        <v>749</v>
      </c>
      <c r="N206" t="b">
        <v>0</v>
      </c>
      <c r="O206" s="1" t="s">
        <v>533</v>
      </c>
      <c r="P206" s="1">
        <v>17.859006086684801</v>
      </c>
      <c r="Q206" s="1" t="s">
        <v>750</v>
      </c>
    </row>
    <row r="207" spans="1:24" x14ac:dyDescent="0.2">
      <c r="A207">
        <v>2</v>
      </c>
      <c r="B207">
        <v>1</v>
      </c>
      <c r="C207">
        <v>230</v>
      </c>
      <c r="D207" t="s">
        <v>751</v>
      </c>
      <c r="E207" t="s">
        <v>678</v>
      </c>
      <c r="F207">
        <v>1.002</v>
      </c>
      <c r="G207">
        <v>0.15</v>
      </c>
      <c r="H207">
        <v>200</v>
      </c>
      <c r="I207">
        <v>0.15</v>
      </c>
      <c r="J207">
        <v>37.58</v>
      </c>
      <c r="K207">
        <v>29.14</v>
      </c>
      <c r="L207" s="1" t="s">
        <v>752</v>
      </c>
      <c r="M207" s="1" t="s">
        <v>753</v>
      </c>
      <c r="N207" t="b">
        <v>0</v>
      </c>
      <c r="O207" s="1" t="s">
        <v>533</v>
      </c>
      <c r="P207" s="1">
        <v>29.706580759975399</v>
      </c>
      <c r="Q207" s="1" t="s">
        <v>754</v>
      </c>
      <c r="S207">
        <f>P207+P208+P209+P210+P211</f>
        <v>151.13967988349688</v>
      </c>
    </row>
    <row r="208" spans="1:24" x14ac:dyDescent="0.2">
      <c r="A208">
        <v>2</v>
      </c>
      <c r="B208">
        <v>1</v>
      </c>
      <c r="C208">
        <v>231</v>
      </c>
      <c r="D208" t="s">
        <v>755</v>
      </c>
      <c r="E208" t="s">
        <v>678</v>
      </c>
      <c r="F208">
        <v>1.002</v>
      </c>
      <c r="G208">
        <v>0.15</v>
      </c>
      <c r="H208">
        <v>200</v>
      </c>
      <c r="I208">
        <v>0.15</v>
      </c>
      <c r="J208">
        <v>38.090000000000003</v>
      </c>
      <c r="K208">
        <v>30.28</v>
      </c>
      <c r="L208" s="1" t="s">
        <v>756</v>
      </c>
      <c r="M208" s="1" t="s">
        <v>757</v>
      </c>
      <c r="N208" t="b">
        <v>0</v>
      </c>
      <c r="O208" s="1" t="s">
        <v>533</v>
      </c>
      <c r="P208" s="1">
        <v>30.4774998941087</v>
      </c>
      <c r="Q208" s="1" t="s">
        <v>758</v>
      </c>
      <c r="S208">
        <f>S207/5</f>
        <v>30.227935976699378</v>
      </c>
    </row>
    <row r="209" spans="1:19" x14ac:dyDescent="0.2">
      <c r="A209">
        <v>2</v>
      </c>
      <c r="B209">
        <v>1</v>
      </c>
      <c r="C209">
        <v>232</v>
      </c>
      <c r="D209" t="s">
        <v>759</v>
      </c>
      <c r="E209" t="s">
        <v>678</v>
      </c>
      <c r="F209">
        <v>1.002</v>
      </c>
      <c r="G209">
        <v>0.15</v>
      </c>
      <c r="H209">
        <v>200</v>
      </c>
      <c r="I209">
        <v>0.15</v>
      </c>
      <c r="J209">
        <v>37.5</v>
      </c>
      <c r="K209">
        <v>32.25</v>
      </c>
      <c r="L209" s="1" t="s">
        <v>760</v>
      </c>
      <c r="M209" s="1" t="s">
        <v>761</v>
      </c>
      <c r="N209" t="b">
        <v>0</v>
      </c>
      <c r="O209" s="1" t="s">
        <v>533</v>
      </c>
      <c r="P209" s="1">
        <v>33.016021014828503</v>
      </c>
      <c r="Q209" s="1" t="s">
        <v>762</v>
      </c>
    </row>
    <row r="210" spans="1:19" x14ac:dyDescent="0.2">
      <c r="A210">
        <v>2</v>
      </c>
      <c r="B210">
        <v>1</v>
      </c>
      <c r="C210">
        <v>233</v>
      </c>
      <c r="D210" t="s">
        <v>763</v>
      </c>
      <c r="E210" t="s">
        <v>678</v>
      </c>
      <c r="F210">
        <v>1.002</v>
      </c>
      <c r="G210">
        <v>0.15</v>
      </c>
      <c r="H210">
        <v>200</v>
      </c>
      <c r="I210">
        <v>0.15</v>
      </c>
      <c r="J210">
        <v>39.159999999999997</v>
      </c>
      <c r="K210">
        <v>29.98</v>
      </c>
      <c r="L210" s="1" t="s">
        <v>764</v>
      </c>
      <c r="M210" s="1" t="s">
        <v>765</v>
      </c>
      <c r="N210" t="b">
        <v>0</v>
      </c>
      <c r="O210" s="1" t="s">
        <v>533</v>
      </c>
      <c r="P210" s="1">
        <v>29.339891531535802</v>
      </c>
      <c r="Q210" s="1" t="s">
        <v>766</v>
      </c>
    </row>
    <row r="211" spans="1:19" x14ac:dyDescent="0.2">
      <c r="A211">
        <v>2</v>
      </c>
      <c r="B211">
        <v>1</v>
      </c>
      <c r="C211">
        <v>234</v>
      </c>
      <c r="D211" t="s">
        <v>767</v>
      </c>
      <c r="E211" t="s">
        <v>678</v>
      </c>
      <c r="F211">
        <v>1.002</v>
      </c>
      <c r="G211">
        <v>0.15</v>
      </c>
      <c r="H211">
        <v>200</v>
      </c>
      <c r="I211">
        <v>0.15</v>
      </c>
      <c r="J211">
        <v>37.380000000000003</v>
      </c>
      <c r="K211">
        <v>27.93</v>
      </c>
      <c r="L211" s="1" t="s">
        <v>768</v>
      </c>
      <c r="M211" s="1" t="s">
        <v>769</v>
      </c>
      <c r="N211" t="b">
        <v>0</v>
      </c>
      <c r="O211" s="1" t="s">
        <v>533</v>
      </c>
      <c r="P211" s="1">
        <v>28.5996866830485</v>
      </c>
      <c r="Q211" s="1" t="s">
        <v>770</v>
      </c>
    </row>
    <row r="212" spans="1:19" x14ac:dyDescent="0.2">
      <c r="A212">
        <v>2</v>
      </c>
      <c r="B212">
        <v>1</v>
      </c>
      <c r="C212">
        <v>235</v>
      </c>
      <c r="D212" t="s">
        <v>771</v>
      </c>
      <c r="E212" t="s">
        <v>678</v>
      </c>
      <c r="F212">
        <v>0.995</v>
      </c>
      <c r="G212">
        <v>6</v>
      </c>
      <c r="H212">
        <v>200</v>
      </c>
      <c r="I212">
        <v>6</v>
      </c>
      <c r="J212">
        <v>38.74</v>
      </c>
      <c r="K212">
        <v>9.8480000000000008</v>
      </c>
      <c r="L212" s="1" t="s">
        <v>772</v>
      </c>
      <c r="M212" s="1" t="s">
        <v>773</v>
      </c>
      <c r="N212" t="b">
        <v>0</v>
      </c>
      <c r="O212" s="1" t="s">
        <v>533</v>
      </c>
      <c r="P212" s="1">
        <v>9.3264618339635597</v>
      </c>
      <c r="Q212">
        <v>92.308538835048395</v>
      </c>
      <c r="S212">
        <f>P212+P213+P214+P215+P216</f>
        <v>48.286437422668065</v>
      </c>
    </row>
    <row r="213" spans="1:19" x14ac:dyDescent="0.2">
      <c r="A213">
        <v>2</v>
      </c>
      <c r="B213">
        <v>1</v>
      </c>
      <c r="C213">
        <v>236</v>
      </c>
      <c r="D213" t="s">
        <v>774</v>
      </c>
      <c r="E213" t="s">
        <v>678</v>
      </c>
      <c r="F213">
        <v>0.995</v>
      </c>
      <c r="G213">
        <v>6</v>
      </c>
      <c r="H213">
        <v>200</v>
      </c>
      <c r="I213">
        <v>6</v>
      </c>
      <c r="J213">
        <v>37.58</v>
      </c>
      <c r="K213">
        <v>10.88</v>
      </c>
      <c r="L213" s="1" t="s">
        <v>752</v>
      </c>
      <c r="M213" s="1" t="s">
        <v>775</v>
      </c>
      <c r="N213" t="b">
        <v>0</v>
      </c>
      <c r="O213" s="1" t="s">
        <v>533</v>
      </c>
      <c r="P213" s="1">
        <v>10.6908979933268</v>
      </c>
      <c r="Q213" s="1" t="s">
        <v>776</v>
      </c>
      <c r="S213">
        <f>S212/5</f>
        <v>9.6572874845336134</v>
      </c>
    </row>
    <row r="214" spans="1:19" x14ac:dyDescent="0.2">
      <c r="A214">
        <v>2</v>
      </c>
      <c r="B214">
        <v>1</v>
      </c>
      <c r="C214">
        <v>237</v>
      </c>
      <c r="D214" t="s">
        <v>777</v>
      </c>
      <c r="E214" t="s">
        <v>678</v>
      </c>
      <c r="F214">
        <v>0.995</v>
      </c>
      <c r="G214">
        <v>6</v>
      </c>
      <c r="H214">
        <v>200</v>
      </c>
      <c r="I214">
        <v>6</v>
      </c>
      <c r="J214">
        <v>38.200000000000003</v>
      </c>
      <c r="K214">
        <v>9.6720000000000006</v>
      </c>
      <c r="L214" s="1" t="s">
        <v>778</v>
      </c>
      <c r="M214" s="1" t="s">
        <v>779</v>
      </c>
      <c r="N214" t="b">
        <v>0</v>
      </c>
      <c r="O214" s="1" t="s">
        <v>533</v>
      </c>
      <c r="P214">
        <v>9.2788418468629601</v>
      </c>
      <c r="Q214" s="1" t="s">
        <v>780</v>
      </c>
    </row>
    <row r="215" spans="1:19" x14ac:dyDescent="0.2">
      <c r="A215">
        <v>2</v>
      </c>
      <c r="B215">
        <v>1</v>
      </c>
      <c r="C215">
        <v>238</v>
      </c>
      <c r="D215" t="s">
        <v>781</v>
      </c>
      <c r="E215" t="s">
        <v>678</v>
      </c>
      <c r="F215">
        <v>0.995</v>
      </c>
      <c r="G215">
        <v>6</v>
      </c>
      <c r="H215">
        <v>200</v>
      </c>
      <c r="I215">
        <v>6</v>
      </c>
      <c r="J215">
        <v>38.61</v>
      </c>
      <c r="K215">
        <v>9.8810000000000002</v>
      </c>
      <c r="L215" s="1" t="s">
        <v>782</v>
      </c>
      <c r="M215" s="1" t="s">
        <v>783</v>
      </c>
      <c r="N215" t="b">
        <v>0</v>
      </c>
      <c r="O215" s="1" t="s">
        <v>533</v>
      </c>
      <c r="P215" s="1">
        <v>9.3915028898768895</v>
      </c>
      <c r="Q215" s="1" t="s">
        <v>784</v>
      </c>
    </row>
    <row r="216" spans="1:19" x14ac:dyDescent="0.2">
      <c r="A216">
        <v>2</v>
      </c>
      <c r="B216">
        <v>1</v>
      </c>
      <c r="C216">
        <v>239</v>
      </c>
      <c r="D216" t="s">
        <v>785</v>
      </c>
      <c r="E216" t="s">
        <v>678</v>
      </c>
      <c r="F216">
        <v>0.995</v>
      </c>
      <c r="G216">
        <v>6</v>
      </c>
      <c r="H216">
        <v>200</v>
      </c>
      <c r="I216">
        <v>6</v>
      </c>
      <c r="J216">
        <v>38.130000000000003</v>
      </c>
      <c r="K216">
        <v>9.9670000000000005</v>
      </c>
      <c r="L216" s="1" t="s">
        <v>786</v>
      </c>
      <c r="M216" s="1" t="s">
        <v>787</v>
      </c>
      <c r="N216" t="b">
        <v>0</v>
      </c>
      <c r="O216" s="1" t="s">
        <v>533</v>
      </c>
      <c r="P216" s="1">
        <v>9.5987328586378506</v>
      </c>
      <c r="Q216" s="1" t="s">
        <v>788</v>
      </c>
    </row>
    <row r="217" spans="1:19" x14ac:dyDescent="0.2">
      <c r="A217">
        <v>2</v>
      </c>
      <c r="B217">
        <v>1</v>
      </c>
      <c r="C217">
        <v>240</v>
      </c>
      <c r="D217" t="s">
        <v>789</v>
      </c>
      <c r="E217" t="s">
        <v>678</v>
      </c>
      <c r="F217">
        <v>0.995</v>
      </c>
      <c r="G217">
        <v>10</v>
      </c>
      <c r="H217">
        <v>200</v>
      </c>
      <c r="I217">
        <v>10</v>
      </c>
      <c r="J217">
        <v>38.39</v>
      </c>
      <c r="K217">
        <v>9.4849999999999994</v>
      </c>
      <c r="L217" s="1" t="s">
        <v>544</v>
      </c>
      <c r="M217" s="1" t="s">
        <v>790</v>
      </c>
      <c r="N217" t="b">
        <v>0</v>
      </c>
      <c r="O217" s="1" t="s">
        <v>533</v>
      </c>
      <c r="P217">
        <v>9.0420268915170308</v>
      </c>
      <c r="Q217" s="1" t="s">
        <v>791</v>
      </c>
      <c r="S217">
        <f>P217+P219+P218+P220+P221</f>
        <v>46.319013363611752</v>
      </c>
    </row>
    <row r="218" spans="1:19" x14ac:dyDescent="0.2">
      <c r="A218">
        <v>2</v>
      </c>
      <c r="B218">
        <v>1</v>
      </c>
      <c r="C218">
        <v>241</v>
      </c>
      <c r="D218" t="s">
        <v>792</v>
      </c>
      <c r="E218" t="s">
        <v>678</v>
      </c>
      <c r="F218">
        <v>0.995</v>
      </c>
      <c r="G218">
        <v>10</v>
      </c>
      <c r="H218">
        <v>200</v>
      </c>
      <c r="I218">
        <v>10</v>
      </c>
      <c r="J218">
        <v>37.15</v>
      </c>
      <c r="K218">
        <v>9.6219999999999999</v>
      </c>
      <c r="L218" s="1" t="s">
        <v>793</v>
      </c>
      <c r="M218" s="1" t="s">
        <v>794</v>
      </c>
      <c r="N218" t="b">
        <v>0</v>
      </c>
      <c r="O218" s="1" t="s">
        <v>533</v>
      </c>
      <c r="P218" s="1">
        <v>9.4901196665647305</v>
      </c>
      <c r="Q218" s="1" t="s">
        <v>795</v>
      </c>
      <c r="S218">
        <f>S217/5</f>
        <v>9.2638026727223508</v>
      </c>
    </row>
    <row r="219" spans="1:19" x14ac:dyDescent="0.2">
      <c r="A219">
        <v>2</v>
      </c>
      <c r="B219">
        <v>1</v>
      </c>
      <c r="C219">
        <v>242</v>
      </c>
      <c r="D219" t="s">
        <v>796</v>
      </c>
      <c r="E219" t="s">
        <v>678</v>
      </c>
      <c r="F219">
        <v>0.995</v>
      </c>
      <c r="G219">
        <v>10</v>
      </c>
      <c r="H219">
        <v>200</v>
      </c>
      <c r="I219">
        <v>10</v>
      </c>
      <c r="J219">
        <v>38.18</v>
      </c>
      <c r="K219">
        <v>9.593</v>
      </c>
      <c r="L219" s="1" t="s">
        <v>797</v>
      </c>
      <c r="M219">
        <v>9.8320201446521498</v>
      </c>
      <c r="N219" t="b">
        <v>0</v>
      </c>
      <c r="O219" s="1" t="s">
        <v>533</v>
      </c>
      <c r="P219" s="1">
        <v>9.2027646744781109</v>
      </c>
      <c r="Q219" s="1" t="s">
        <v>798</v>
      </c>
    </row>
    <row r="220" spans="1:19" x14ac:dyDescent="0.2">
      <c r="A220">
        <v>2</v>
      </c>
      <c r="B220">
        <v>1</v>
      </c>
      <c r="C220">
        <v>243</v>
      </c>
      <c r="D220" t="s">
        <v>799</v>
      </c>
      <c r="E220" t="s">
        <v>678</v>
      </c>
      <c r="F220">
        <v>0.995</v>
      </c>
      <c r="G220">
        <v>10</v>
      </c>
      <c r="H220">
        <v>200</v>
      </c>
      <c r="I220">
        <v>10</v>
      </c>
      <c r="J220">
        <v>38.61</v>
      </c>
      <c r="K220">
        <v>10.01</v>
      </c>
      <c r="L220" s="1" t="s">
        <v>782</v>
      </c>
      <c r="M220" s="1" t="s">
        <v>800</v>
      </c>
      <c r="N220" t="b">
        <v>0</v>
      </c>
      <c r="O220" s="1" t="s">
        <v>533</v>
      </c>
      <c r="P220" s="1">
        <v>9.5222354231708799</v>
      </c>
      <c r="Q220" s="1" t="s">
        <v>801</v>
      </c>
    </row>
    <row r="221" spans="1:19" x14ac:dyDescent="0.2">
      <c r="A221">
        <v>2</v>
      </c>
      <c r="B221">
        <v>1</v>
      </c>
      <c r="C221">
        <v>244</v>
      </c>
      <c r="D221" t="s">
        <v>802</v>
      </c>
      <c r="E221" t="s">
        <v>678</v>
      </c>
      <c r="F221">
        <v>0.995</v>
      </c>
      <c r="G221">
        <v>10</v>
      </c>
      <c r="H221">
        <v>200</v>
      </c>
      <c r="I221">
        <v>10</v>
      </c>
      <c r="J221">
        <v>38.83</v>
      </c>
      <c r="K221">
        <v>9.6069999999999993</v>
      </c>
      <c r="L221" s="1" t="s">
        <v>599</v>
      </c>
      <c r="M221" s="1" t="s">
        <v>803</v>
      </c>
      <c r="N221" t="b">
        <v>0</v>
      </c>
      <c r="O221" s="1" t="s">
        <v>533</v>
      </c>
      <c r="P221" s="1">
        <v>9.0618667078810002</v>
      </c>
      <c r="Q221">
        <v>87.494827600615906</v>
      </c>
    </row>
    <row r="222" spans="1:19" x14ac:dyDescent="0.2">
      <c r="A222">
        <v>2</v>
      </c>
      <c r="B222">
        <v>1</v>
      </c>
      <c r="C222">
        <v>245</v>
      </c>
      <c r="D222" t="s">
        <v>804</v>
      </c>
      <c r="E222" t="s">
        <v>678</v>
      </c>
      <c r="F222">
        <v>0.995</v>
      </c>
      <c r="G222">
        <v>10</v>
      </c>
      <c r="H222">
        <v>200</v>
      </c>
      <c r="I222">
        <v>10</v>
      </c>
      <c r="J222">
        <v>39.06</v>
      </c>
      <c r="K222">
        <v>9.2639999999999993</v>
      </c>
      <c r="L222" s="1" t="s">
        <v>707</v>
      </c>
      <c r="M222">
        <v>9.2795925581919594</v>
      </c>
      <c r="N222" t="b">
        <v>0</v>
      </c>
      <c r="O222" s="1" t="s">
        <v>533</v>
      </c>
      <c r="P222" s="1">
        <v>8.6646011535809393</v>
      </c>
      <c r="Q222">
        <v>80.672226217863198</v>
      </c>
      <c r="S222">
        <f>P222+P223+P224+P225+P226</f>
        <v>45.871486342772194</v>
      </c>
    </row>
    <row r="223" spans="1:19" x14ac:dyDescent="0.2">
      <c r="A223">
        <v>2</v>
      </c>
      <c r="B223">
        <v>1</v>
      </c>
      <c r="C223">
        <v>246</v>
      </c>
      <c r="D223" t="s">
        <v>805</v>
      </c>
      <c r="E223" t="s">
        <v>678</v>
      </c>
      <c r="F223">
        <v>0.995</v>
      </c>
      <c r="G223">
        <v>10</v>
      </c>
      <c r="H223">
        <v>200</v>
      </c>
      <c r="I223">
        <v>10</v>
      </c>
      <c r="J223">
        <v>38.46</v>
      </c>
      <c r="K223">
        <v>9.859</v>
      </c>
      <c r="L223" s="1" t="s">
        <v>806</v>
      </c>
      <c r="M223" s="1" t="s">
        <v>807</v>
      </c>
      <c r="N223" t="b">
        <v>0</v>
      </c>
      <c r="O223" s="1" t="s">
        <v>533</v>
      </c>
      <c r="P223" s="1">
        <v>9.4059773188372997</v>
      </c>
      <c r="Q223" s="1" t="s">
        <v>808</v>
      </c>
      <c r="S223">
        <f>S222/5</f>
        <v>9.1742972685544384</v>
      </c>
    </row>
    <row r="224" spans="1:19" x14ac:dyDescent="0.2">
      <c r="A224">
        <v>2</v>
      </c>
      <c r="B224">
        <v>1</v>
      </c>
      <c r="C224">
        <v>247</v>
      </c>
      <c r="D224" t="s">
        <v>809</v>
      </c>
      <c r="E224" t="s">
        <v>678</v>
      </c>
      <c r="F224">
        <v>0.995</v>
      </c>
      <c r="G224">
        <v>10</v>
      </c>
      <c r="H224">
        <v>200</v>
      </c>
      <c r="I224">
        <v>10</v>
      </c>
      <c r="J224">
        <v>36.119999999999997</v>
      </c>
      <c r="K224">
        <v>8.9480000000000004</v>
      </c>
      <c r="L224" s="1" t="s">
        <v>810</v>
      </c>
      <c r="M224" s="1" t="s">
        <v>811</v>
      </c>
      <c r="N224" t="b">
        <v>0</v>
      </c>
      <c r="O224" s="1" t="s">
        <v>533</v>
      </c>
      <c r="P224" s="1">
        <v>9.0320899762786393</v>
      </c>
      <c r="Q224" s="1" t="s">
        <v>812</v>
      </c>
    </row>
    <row r="225" spans="1:23" x14ac:dyDescent="0.2">
      <c r="A225">
        <v>2</v>
      </c>
      <c r="B225">
        <v>1</v>
      </c>
      <c r="C225">
        <v>248</v>
      </c>
      <c r="D225" t="s">
        <v>813</v>
      </c>
      <c r="E225" t="s">
        <v>678</v>
      </c>
      <c r="F225">
        <v>0.995</v>
      </c>
      <c r="G225">
        <v>10</v>
      </c>
      <c r="H225">
        <v>200</v>
      </c>
      <c r="I225">
        <v>10</v>
      </c>
      <c r="J225">
        <v>39.729999999999997</v>
      </c>
      <c r="K225">
        <v>10.14</v>
      </c>
      <c r="L225" s="1" t="s">
        <v>814</v>
      </c>
      <c r="M225" s="1" t="s">
        <v>815</v>
      </c>
      <c r="N225" t="b">
        <v>0</v>
      </c>
      <c r="O225" s="1" t="s">
        <v>533</v>
      </c>
      <c r="P225" s="1">
        <v>9.3801856289368502</v>
      </c>
      <c r="Q225" s="1" t="s">
        <v>816</v>
      </c>
    </row>
    <row r="226" spans="1:23" x14ac:dyDescent="0.2">
      <c r="A226">
        <v>2</v>
      </c>
      <c r="B226">
        <v>1</v>
      </c>
      <c r="C226">
        <v>249</v>
      </c>
      <c r="D226" t="s">
        <v>817</v>
      </c>
      <c r="E226" t="s">
        <v>678</v>
      </c>
      <c r="F226">
        <v>0.995</v>
      </c>
      <c r="G226">
        <v>10</v>
      </c>
      <c r="H226">
        <v>200</v>
      </c>
      <c r="I226">
        <v>10</v>
      </c>
      <c r="J226">
        <v>37.520000000000003</v>
      </c>
      <c r="K226">
        <v>9.6150000000000002</v>
      </c>
      <c r="L226" s="1" t="s">
        <v>818</v>
      </c>
      <c r="M226" s="1" t="s">
        <v>819</v>
      </c>
      <c r="N226" t="b">
        <v>0</v>
      </c>
      <c r="O226" s="1" t="s">
        <v>533</v>
      </c>
      <c r="P226" s="1">
        <v>9.3886322651384599</v>
      </c>
      <c r="Q226" s="1" t="s">
        <v>820</v>
      </c>
    </row>
    <row r="227" spans="1:23" x14ac:dyDescent="0.2">
      <c r="A227">
        <v>2</v>
      </c>
      <c r="B227">
        <v>1</v>
      </c>
      <c r="C227">
        <v>250</v>
      </c>
      <c r="D227" t="s">
        <v>821</v>
      </c>
      <c r="E227" t="s">
        <v>678</v>
      </c>
      <c r="F227">
        <v>0</v>
      </c>
      <c r="G227">
        <v>0</v>
      </c>
      <c r="H227">
        <v>200</v>
      </c>
      <c r="I227">
        <v>0</v>
      </c>
      <c r="J227">
        <v>36.83</v>
      </c>
      <c r="K227">
        <v>0.64449999999999996</v>
      </c>
      <c r="L227" s="1" t="s">
        <v>822</v>
      </c>
      <c r="M227" s="1" t="s">
        <v>823</v>
      </c>
      <c r="N227" t="b">
        <v>1</v>
      </c>
      <c r="O227" s="1" t="s">
        <v>533</v>
      </c>
      <c r="P227" s="1">
        <v>3.2457858375385402E-2</v>
      </c>
      <c r="Q227" t="s">
        <v>824</v>
      </c>
      <c r="S227">
        <f>P227+P228+P229+P230+P231</f>
        <v>0.28103468570055357</v>
      </c>
    </row>
    <row r="228" spans="1:23" x14ac:dyDescent="0.2">
      <c r="A228">
        <v>2</v>
      </c>
      <c r="B228">
        <v>1</v>
      </c>
      <c r="C228">
        <v>251</v>
      </c>
      <c r="D228" t="s">
        <v>825</v>
      </c>
      <c r="E228" t="s">
        <v>678</v>
      </c>
      <c r="F228">
        <v>0</v>
      </c>
      <c r="G228">
        <v>0</v>
      </c>
      <c r="H228">
        <v>200</v>
      </c>
      <c r="I228">
        <v>0</v>
      </c>
      <c r="J228">
        <v>42.19</v>
      </c>
      <c r="K228">
        <v>0.61329999999999996</v>
      </c>
      <c r="L228" s="1" t="s">
        <v>826</v>
      </c>
      <c r="M228" s="1" t="s">
        <v>827</v>
      </c>
      <c r="N228" t="b">
        <v>1</v>
      </c>
      <c r="O228" s="1" t="s">
        <v>533</v>
      </c>
      <c r="P228">
        <v>6.0995930515356505E-4</v>
      </c>
      <c r="Q228" t="e">
        <f>-inf</f>
        <v>#NAME?</v>
      </c>
      <c r="S228">
        <f>S227/5</f>
        <v>5.6206937140110713E-2</v>
      </c>
    </row>
    <row r="229" spans="1:23" x14ac:dyDescent="0.2">
      <c r="A229">
        <v>2</v>
      </c>
      <c r="B229">
        <v>1</v>
      </c>
      <c r="C229">
        <v>252</v>
      </c>
      <c r="D229" t="s">
        <v>828</v>
      </c>
      <c r="E229" t="s">
        <v>678</v>
      </c>
      <c r="F229">
        <v>0</v>
      </c>
      <c r="G229">
        <v>0</v>
      </c>
      <c r="H229">
        <v>200</v>
      </c>
      <c r="I229">
        <v>0</v>
      </c>
      <c r="J229">
        <v>37.97</v>
      </c>
      <c r="K229">
        <v>0.60519999999999996</v>
      </c>
      <c r="L229" s="1" t="s">
        <v>829</v>
      </c>
      <c r="M229" s="1" t="s">
        <v>830</v>
      </c>
      <c r="N229" t="b">
        <v>1</v>
      </c>
      <c r="O229" s="1" t="s">
        <v>533</v>
      </c>
      <c r="P229">
        <v>9.0262058974235095E-3</v>
      </c>
      <c r="Q229" t="e">
        <f>-inf</f>
        <v>#NAME?</v>
      </c>
    </row>
    <row r="230" spans="1:23" x14ac:dyDescent="0.2">
      <c r="A230">
        <v>2</v>
      </c>
      <c r="B230">
        <v>1</v>
      </c>
      <c r="C230">
        <v>253</v>
      </c>
      <c r="D230" t="s">
        <v>831</v>
      </c>
      <c r="E230" t="s">
        <v>678</v>
      </c>
      <c r="F230">
        <v>0</v>
      </c>
      <c r="G230">
        <v>0</v>
      </c>
      <c r="H230">
        <v>200</v>
      </c>
      <c r="I230">
        <v>0</v>
      </c>
      <c r="J230">
        <v>38.49</v>
      </c>
      <c r="K230">
        <v>0.65890000000000004</v>
      </c>
      <c r="L230" s="1" t="s">
        <v>571</v>
      </c>
      <c r="M230" s="1" t="s">
        <v>832</v>
      </c>
      <c r="N230" t="b">
        <v>1</v>
      </c>
      <c r="O230" s="1" t="s">
        <v>533</v>
      </c>
      <c r="P230" s="1">
        <v>4.5688446470007103E-2</v>
      </c>
      <c r="Q230" t="s">
        <v>824</v>
      </c>
    </row>
    <row r="231" spans="1:23" x14ac:dyDescent="0.2">
      <c r="A231">
        <v>2</v>
      </c>
      <c r="B231">
        <v>1</v>
      </c>
      <c r="C231">
        <v>254</v>
      </c>
      <c r="D231" t="s">
        <v>833</v>
      </c>
      <c r="E231" t="s">
        <v>678</v>
      </c>
      <c r="F231">
        <v>0</v>
      </c>
      <c r="G231">
        <v>0</v>
      </c>
      <c r="H231">
        <v>200</v>
      </c>
      <c r="I231">
        <v>0</v>
      </c>
      <c r="J231">
        <v>41.88</v>
      </c>
      <c r="K231">
        <v>0.82089999999999996</v>
      </c>
      <c r="L231" s="1" t="s">
        <v>834</v>
      </c>
      <c r="M231" s="1" t="s">
        <v>835</v>
      </c>
      <c r="N231" t="b">
        <v>1</v>
      </c>
      <c r="O231" s="1" t="s">
        <v>533</v>
      </c>
      <c r="P231" s="1">
        <v>0.19325221565258399</v>
      </c>
      <c r="Q231" t="s">
        <v>824</v>
      </c>
      <c r="U231">
        <v>0</v>
      </c>
      <c r="V231">
        <f>S282/5</f>
        <v>0.14888705231775384</v>
      </c>
      <c r="W231">
        <f>_xlfn.STDEV.S(P282:P286)</f>
        <v>0.22784717971592694</v>
      </c>
    </row>
    <row r="232" spans="1:23" x14ac:dyDescent="0.2">
      <c r="A232">
        <v>3</v>
      </c>
      <c r="B232">
        <v>1.5</v>
      </c>
      <c r="C232">
        <v>1</v>
      </c>
      <c r="D232" t="s">
        <v>17</v>
      </c>
      <c r="E232" t="s">
        <v>18</v>
      </c>
      <c r="F232">
        <v>0.995</v>
      </c>
      <c r="G232">
        <v>6</v>
      </c>
      <c r="H232">
        <v>10</v>
      </c>
      <c r="I232">
        <v>10</v>
      </c>
      <c r="J232">
        <v>110.2</v>
      </c>
      <c r="K232">
        <v>1.911</v>
      </c>
      <c r="L232" s="1" t="s">
        <v>836</v>
      </c>
      <c r="M232" s="1" t="s">
        <v>837</v>
      </c>
      <c r="N232" t="b">
        <v>0</v>
      </c>
      <c r="O232" s="1" t="s">
        <v>838</v>
      </c>
      <c r="P232" s="1">
        <v>1.2342516267167301</v>
      </c>
      <c r="Q232" s="1" t="s">
        <v>839</v>
      </c>
      <c r="S232">
        <f>P232+P233+P234+P236+P235</f>
        <v>6.5352001362304604</v>
      </c>
      <c r="U232">
        <v>10</v>
      </c>
      <c r="V232">
        <f>S232/5</f>
        <v>1.307040027246092</v>
      </c>
      <c r="W232">
        <f>_xlfn.STDEV.S(P232:P236)</f>
        <v>0.20484218235217419</v>
      </c>
    </row>
    <row r="233" spans="1:23" x14ac:dyDescent="0.2">
      <c r="A233">
        <v>3</v>
      </c>
      <c r="B233">
        <v>1.5</v>
      </c>
      <c r="C233">
        <v>2</v>
      </c>
      <c r="D233" t="s">
        <v>23</v>
      </c>
      <c r="E233" t="s">
        <v>18</v>
      </c>
      <c r="F233">
        <v>0.995</v>
      </c>
      <c r="G233">
        <v>6</v>
      </c>
      <c r="H233">
        <v>10</v>
      </c>
      <c r="I233">
        <v>10</v>
      </c>
      <c r="J233">
        <v>109.6</v>
      </c>
      <c r="K233">
        <v>1.8120000000000001</v>
      </c>
      <c r="L233" s="1" t="s">
        <v>840</v>
      </c>
      <c r="M233" s="1" t="s">
        <v>841</v>
      </c>
      <c r="N233" t="b">
        <v>0</v>
      </c>
      <c r="O233" s="1" t="s">
        <v>838</v>
      </c>
      <c r="P233" s="1">
        <v>1.1433555223166301</v>
      </c>
      <c r="Q233" s="1" t="s">
        <v>842</v>
      </c>
      <c r="S233">
        <f>S232/5</f>
        <v>1.307040027246092</v>
      </c>
      <c r="U233">
        <v>25</v>
      </c>
      <c r="V233">
        <f>S237/5</f>
        <v>2.9609315594818164</v>
      </c>
      <c r="W233">
        <f>_xlfn.STDEV.S(P237:P241)</f>
        <v>0.17023354788976572</v>
      </c>
    </row>
    <row r="234" spans="1:23" x14ac:dyDescent="0.2">
      <c r="A234">
        <v>3</v>
      </c>
      <c r="B234">
        <v>1.5</v>
      </c>
      <c r="C234">
        <v>3</v>
      </c>
      <c r="D234" t="s">
        <v>27</v>
      </c>
      <c r="E234" t="s">
        <v>18</v>
      </c>
      <c r="F234">
        <v>0.995</v>
      </c>
      <c r="G234">
        <v>6</v>
      </c>
      <c r="H234">
        <v>10</v>
      </c>
      <c r="I234">
        <v>10</v>
      </c>
      <c r="J234">
        <v>103.2</v>
      </c>
      <c r="K234">
        <v>1.794</v>
      </c>
      <c r="L234" s="1" t="s">
        <v>843</v>
      </c>
      <c r="M234" s="1" t="s">
        <v>844</v>
      </c>
      <c r="N234" t="b">
        <v>0</v>
      </c>
      <c r="O234" s="1" t="s">
        <v>838</v>
      </c>
      <c r="P234" s="1">
        <v>1.19553529584257</v>
      </c>
      <c r="Q234" s="1" t="s">
        <v>845</v>
      </c>
      <c r="U234">
        <v>50</v>
      </c>
      <c r="V234">
        <f>S242/5</f>
        <v>6.1344015575880544</v>
      </c>
      <c r="W234">
        <f>_xlfn.STDEV.S(P242:P246)</f>
        <v>0.34389454936581482</v>
      </c>
    </row>
    <row r="235" spans="1:23" x14ac:dyDescent="0.2">
      <c r="A235">
        <v>3</v>
      </c>
      <c r="B235">
        <v>1.5</v>
      </c>
      <c r="C235">
        <v>4</v>
      </c>
      <c r="D235" t="s">
        <v>31</v>
      </c>
      <c r="E235" t="s">
        <v>18</v>
      </c>
      <c r="F235">
        <v>0.995</v>
      </c>
      <c r="G235">
        <v>6</v>
      </c>
      <c r="H235">
        <v>10</v>
      </c>
      <c r="I235">
        <v>10</v>
      </c>
      <c r="J235">
        <v>108.3</v>
      </c>
      <c r="K235">
        <v>1.9590000000000001</v>
      </c>
      <c r="L235" s="1" t="s">
        <v>846</v>
      </c>
      <c r="M235" s="1" t="s">
        <v>847</v>
      </c>
      <c r="N235" t="b">
        <v>0</v>
      </c>
      <c r="O235" s="1" t="s">
        <v>838</v>
      </c>
      <c r="P235" s="1">
        <v>1.3038665087175501</v>
      </c>
      <c r="Q235" s="1" t="s">
        <v>848</v>
      </c>
      <c r="U235">
        <v>100</v>
      </c>
      <c r="V235">
        <f>S247/5</f>
        <v>12.394610860860798</v>
      </c>
      <c r="W235">
        <f>_xlfn.STDEV.S(P247:P251)</f>
        <v>0.71533998953715783</v>
      </c>
    </row>
    <row r="236" spans="1:23" x14ac:dyDescent="0.2">
      <c r="A236">
        <v>3</v>
      </c>
      <c r="B236">
        <v>1.5</v>
      </c>
      <c r="C236">
        <v>5</v>
      </c>
      <c r="D236" t="s">
        <v>35</v>
      </c>
      <c r="E236" t="s">
        <v>18</v>
      </c>
      <c r="F236">
        <v>0.995</v>
      </c>
      <c r="G236">
        <v>6</v>
      </c>
      <c r="H236">
        <v>10</v>
      </c>
      <c r="I236">
        <v>10</v>
      </c>
      <c r="J236">
        <v>107.2</v>
      </c>
      <c r="K236">
        <v>2.2970000000000002</v>
      </c>
      <c r="L236" s="1" t="s">
        <v>849</v>
      </c>
      <c r="M236" s="1" t="s">
        <v>850</v>
      </c>
      <c r="N236" t="b">
        <v>0</v>
      </c>
      <c r="O236" s="1" t="s">
        <v>838</v>
      </c>
      <c r="P236" s="1">
        <v>1.65819118263698</v>
      </c>
      <c r="Q236" s="1" t="s">
        <v>851</v>
      </c>
      <c r="U236">
        <v>250</v>
      </c>
      <c r="V236">
        <f>S252/5</f>
        <v>31.408971839137159</v>
      </c>
      <c r="W236">
        <f>_xlfn.STDEV.S(P252:P256)</f>
        <v>3.0540583021464296</v>
      </c>
    </row>
    <row r="237" spans="1:23" x14ac:dyDescent="0.2">
      <c r="A237">
        <v>3</v>
      </c>
      <c r="B237">
        <v>1.5</v>
      </c>
      <c r="C237">
        <v>6</v>
      </c>
      <c r="D237" t="s">
        <v>37</v>
      </c>
      <c r="E237" t="s">
        <v>18</v>
      </c>
      <c r="F237">
        <v>0.995</v>
      </c>
      <c r="G237">
        <v>6</v>
      </c>
      <c r="H237">
        <v>25</v>
      </c>
      <c r="I237">
        <v>25</v>
      </c>
      <c r="J237">
        <v>114.6</v>
      </c>
      <c r="K237">
        <v>3.5110000000000001</v>
      </c>
      <c r="L237" s="1" t="s">
        <v>852</v>
      </c>
      <c r="M237" s="1" t="s">
        <v>853</v>
      </c>
      <c r="N237" t="b">
        <v>0</v>
      </c>
      <c r="O237" s="1" t="s">
        <v>838</v>
      </c>
      <c r="P237" s="1">
        <v>2.6962226293854399</v>
      </c>
      <c r="Q237" s="1" t="s">
        <v>854</v>
      </c>
      <c r="S237">
        <f>P237+P238+P239+P241+P240</f>
        <v>14.804657797409082</v>
      </c>
      <c r="U237">
        <v>500</v>
      </c>
      <c r="V237">
        <f>S257/5</f>
        <v>57.998452588445403</v>
      </c>
      <c r="W237">
        <f>_xlfn.STDEV.S(P257:P261)</f>
        <v>4.7951311057578154</v>
      </c>
    </row>
    <row r="238" spans="1:23" x14ac:dyDescent="0.2">
      <c r="A238">
        <v>3</v>
      </c>
      <c r="B238">
        <v>1.5</v>
      </c>
      <c r="C238">
        <v>7</v>
      </c>
      <c r="D238" t="s">
        <v>41</v>
      </c>
      <c r="E238" t="s">
        <v>18</v>
      </c>
      <c r="F238">
        <v>0.995</v>
      </c>
      <c r="G238">
        <v>6</v>
      </c>
      <c r="H238">
        <v>25</v>
      </c>
      <c r="I238">
        <v>25</v>
      </c>
      <c r="J238">
        <v>114.5</v>
      </c>
      <c r="K238">
        <v>3.8540000000000001</v>
      </c>
      <c r="L238" s="1" t="s">
        <v>855</v>
      </c>
      <c r="M238" s="1" t="s">
        <v>856</v>
      </c>
      <c r="N238" t="b">
        <v>0</v>
      </c>
      <c r="O238" s="1" t="s">
        <v>838</v>
      </c>
      <c r="P238" s="1">
        <v>3.0224508070793301</v>
      </c>
      <c r="Q238" s="1" t="s">
        <v>857</v>
      </c>
      <c r="S238">
        <f>S237/5</f>
        <v>2.9609315594818164</v>
      </c>
      <c r="U238">
        <v>1000</v>
      </c>
      <c r="V238">
        <f>S262/5</f>
        <v>124.98566998084561</v>
      </c>
      <c r="W238">
        <f>_xlfn.STDEV.S(P262:P266)</f>
        <v>6.2629701053879243</v>
      </c>
    </row>
    <row r="239" spans="1:23" x14ac:dyDescent="0.2">
      <c r="A239">
        <v>3</v>
      </c>
      <c r="B239">
        <v>1.5</v>
      </c>
      <c r="C239">
        <v>8</v>
      </c>
      <c r="D239" t="s">
        <v>858</v>
      </c>
      <c r="E239" t="s">
        <v>18</v>
      </c>
      <c r="F239">
        <v>0.995</v>
      </c>
      <c r="G239">
        <v>6</v>
      </c>
      <c r="H239">
        <v>25</v>
      </c>
      <c r="I239">
        <v>25</v>
      </c>
      <c r="J239">
        <v>117.2</v>
      </c>
      <c r="K239">
        <v>3.9089999999999998</v>
      </c>
      <c r="L239" s="1" t="s">
        <v>859</v>
      </c>
      <c r="M239" s="1" t="s">
        <v>860</v>
      </c>
      <c r="N239" t="b">
        <v>0</v>
      </c>
      <c r="O239" s="1" t="s">
        <v>838</v>
      </c>
      <c r="P239" s="1">
        <v>3.0034386168400302</v>
      </c>
      <c r="Q239" s="1" t="s">
        <v>861</v>
      </c>
      <c r="U239">
        <v>2000</v>
      </c>
      <c r="V239">
        <f>S267/5</f>
        <v>252.13094473163801</v>
      </c>
      <c r="W239">
        <f>_xlfn.STDEV.S(P267:P271)</f>
        <v>6.5541262581817898</v>
      </c>
    </row>
    <row r="240" spans="1:23" x14ac:dyDescent="0.2">
      <c r="A240">
        <v>3</v>
      </c>
      <c r="B240">
        <v>1.5</v>
      </c>
      <c r="C240">
        <v>9</v>
      </c>
      <c r="D240" t="s">
        <v>862</v>
      </c>
      <c r="E240" t="s">
        <v>18</v>
      </c>
      <c r="F240">
        <v>0.995</v>
      </c>
      <c r="G240">
        <v>6</v>
      </c>
      <c r="H240">
        <v>25</v>
      </c>
      <c r="I240">
        <v>25</v>
      </c>
      <c r="J240">
        <v>113.5</v>
      </c>
      <c r="K240">
        <v>3.7229999999999999</v>
      </c>
      <c r="L240" s="1" t="s">
        <v>863</v>
      </c>
      <c r="M240" s="1" t="s">
        <v>864</v>
      </c>
      <c r="N240" t="b">
        <v>0</v>
      </c>
      <c r="O240" s="1" t="s">
        <v>838</v>
      </c>
      <c r="P240" s="1">
        <v>2.9243410438903501</v>
      </c>
      <c r="Q240" s="1" t="s">
        <v>865</v>
      </c>
      <c r="U240">
        <v>3000</v>
      </c>
      <c r="V240">
        <f>S272/5</f>
        <v>376.75568106916461</v>
      </c>
      <c r="W240">
        <f>_xlfn.STDEV.S(P272:P276)</f>
        <v>30.478339783452466</v>
      </c>
    </row>
    <row r="241" spans="1:23" x14ac:dyDescent="0.2">
      <c r="A241">
        <v>3</v>
      </c>
      <c r="B241">
        <v>1.5</v>
      </c>
      <c r="C241">
        <v>10</v>
      </c>
      <c r="D241" t="s">
        <v>44</v>
      </c>
      <c r="E241" t="s">
        <v>18</v>
      </c>
      <c r="F241">
        <v>0.995</v>
      </c>
      <c r="G241">
        <v>6</v>
      </c>
      <c r="H241">
        <v>25</v>
      </c>
      <c r="I241">
        <v>25</v>
      </c>
      <c r="J241">
        <v>102</v>
      </c>
      <c r="K241">
        <v>3.6320000000000001</v>
      </c>
      <c r="L241" s="1" t="s">
        <v>866</v>
      </c>
      <c r="M241" s="1" t="s">
        <v>867</v>
      </c>
      <c r="N241" t="b">
        <v>0</v>
      </c>
      <c r="O241" s="1" t="s">
        <v>838</v>
      </c>
      <c r="P241" s="1">
        <v>3.15820470021393</v>
      </c>
      <c r="Q241" s="1" t="s">
        <v>868</v>
      </c>
      <c r="U241">
        <v>5000</v>
      </c>
      <c r="V241">
        <f>S277/5</f>
        <v>650.82112387675477</v>
      </c>
      <c r="W241">
        <f>_xlfn.STDEV.S(P277:P281)</f>
        <v>50.570410614540343</v>
      </c>
    </row>
    <row r="242" spans="1:23" x14ac:dyDescent="0.2">
      <c r="A242">
        <v>3</v>
      </c>
      <c r="B242">
        <v>1.5</v>
      </c>
      <c r="C242">
        <v>11</v>
      </c>
      <c r="D242" t="s">
        <v>48</v>
      </c>
      <c r="E242" t="s">
        <v>18</v>
      </c>
      <c r="F242">
        <v>0.995</v>
      </c>
      <c r="G242">
        <v>6</v>
      </c>
      <c r="H242">
        <v>50</v>
      </c>
      <c r="I242">
        <v>50</v>
      </c>
      <c r="J242">
        <v>115</v>
      </c>
      <c r="K242">
        <v>6.9740000000000002</v>
      </c>
      <c r="L242" s="1" t="s">
        <v>869</v>
      </c>
      <c r="M242" s="1" t="s">
        <v>870</v>
      </c>
      <c r="N242" t="b">
        <v>0</v>
      </c>
      <c r="O242" s="1" t="s">
        <v>838</v>
      </c>
      <c r="P242" s="1">
        <v>5.9424406674894703</v>
      </c>
      <c r="Q242" s="1" t="s">
        <v>871</v>
      </c>
      <c r="S242">
        <f>P242+P243+P244+P245+P246</f>
        <v>30.67200778794027</v>
      </c>
    </row>
    <row r="243" spans="1:23" x14ac:dyDescent="0.2">
      <c r="A243">
        <v>3</v>
      </c>
      <c r="B243">
        <v>1.5</v>
      </c>
      <c r="C243">
        <v>12</v>
      </c>
      <c r="D243" t="s">
        <v>52</v>
      </c>
      <c r="E243" t="s">
        <v>18</v>
      </c>
      <c r="F243">
        <v>0.995</v>
      </c>
      <c r="G243">
        <v>6</v>
      </c>
      <c r="H243">
        <v>50</v>
      </c>
      <c r="I243">
        <v>50</v>
      </c>
      <c r="J243">
        <v>111.5</v>
      </c>
      <c r="K243">
        <v>6.4610000000000003</v>
      </c>
      <c r="L243" s="1" t="s">
        <v>872</v>
      </c>
      <c r="M243" s="1" t="s">
        <v>873</v>
      </c>
      <c r="N243" t="b">
        <v>0</v>
      </c>
      <c r="O243" s="1" t="s">
        <v>838</v>
      </c>
      <c r="P243" s="1">
        <v>5.6318589064958697</v>
      </c>
      <c r="Q243" s="1" t="s">
        <v>874</v>
      </c>
    </row>
    <row r="244" spans="1:23" x14ac:dyDescent="0.2">
      <c r="A244">
        <v>3</v>
      </c>
      <c r="B244">
        <v>1.5</v>
      </c>
      <c r="C244">
        <v>13</v>
      </c>
      <c r="D244" t="s">
        <v>55</v>
      </c>
      <c r="E244" t="s">
        <v>18</v>
      </c>
      <c r="F244">
        <v>0.995</v>
      </c>
      <c r="G244">
        <v>6</v>
      </c>
      <c r="H244">
        <v>50</v>
      </c>
      <c r="I244">
        <v>50</v>
      </c>
      <c r="J244">
        <v>109.1</v>
      </c>
      <c r="K244">
        <v>7.0049999999999999</v>
      </c>
      <c r="L244" s="1" t="s">
        <v>875</v>
      </c>
      <c r="M244" s="1" t="s">
        <v>876</v>
      </c>
      <c r="N244" t="b">
        <v>0</v>
      </c>
      <c r="O244" s="1" t="s">
        <v>838</v>
      </c>
      <c r="P244" s="1">
        <v>6.2951002627633796</v>
      </c>
      <c r="Q244" s="1" t="s">
        <v>877</v>
      </c>
    </row>
    <row r="245" spans="1:23" x14ac:dyDescent="0.2">
      <c r="A245">
        <v>3</v>
      </c>
      <c r="B245">
        <v>1.5</v>
      </c>
      <c r="C245">
        <v>14</v>
      </c>
      <c r="D245" t="s">
        <v>59</v>
      </c>
      <c r="E245" t="s">
        <v>18</v>
      </c>
      <c r="F245">
        <v>0.995</v>
      </c>
      <c r="G245">
        <v>6</v>
      </c>
      <c r="H245">
        <v>50</v>
      </c>
      <c r="I245">
        <v>50</v>
      </c>
      <c r="J245">
        <v>112.5</v>
      </c>
      <c r="K245">
        <v>7.4050000000000002</v>
      </c>
      <c r="L245" s="1" t="s">
        <v>878</v>
      </c>
      <c r="M245" s="1" t="s">
        <v>879</v>
      </c>
      <c r="N245" t="b">
        <v>0</v>
      </c>
      <c r="O245" s="1" t="s">
        <v>838</v>
      </c>
      <c r="P245">
        <v>6.4889335069139999</v>
      </c>
      <c r="Q245" s="1" t="s">
        <v>880</v>
      </c>
    </row>
    <row r="246" spans="1:23" x14ac:dyDescent="0.2">
      <c r="A246">
        <v>3</v>
      </c>
      <c r="B246">
        <v>1.5</v>
      </c>
      <c r="C246">
        <v>15</v>
      </c>
      <c r="D246" t="s">
        <v>63</v>
      </c>
      <c r="E246" t="s">
        <v>18</v>
      </c>
      <c r="F246">
        <v>0.995</v>
      </c>
      <c r="G246">
        <v>6</v>
      </c>
      <c r="H246">
        <v>50</v>
      </c>
      <c r="I246">
        <v>50</v>
      </c>
      <c r="J246">
        <v>98.54</v>
      </c>
      <c r="K246">
        <v>6.4059999999999997</v>
      </c>
      <c r="L246" s="1" t="s">
        <v>881</v>
      </c>
      <c r="M246" s="1" t="s">
        <v>882</v>
      </c>
      <c r="N246" t="b">
        <v>0</v>
      </c>
      <c r="O246" s="1" t="s">
        <v>838</v>
      </c>
      <c r="P246" s="1">
        <v>6.3136744442775496</v>
      </c>
      <c r="Q246" s="1" t="s">
        <v>883</v>
      </c>
    </row>
    <row r="247" spans="1:23" x14ac:dyDescent="0.2">
      <c r="A247">
        <v>3</v>
      </c>
      <c r="B247">
        <v>1.5</v>
      </c>
      <c r="C247">
        <v>16</v>
      </c>
      <c r="D247" t="s">
        <v>67</v>
      </c>
      <c r="E247" t="s">
        <v>18</v>
      </c>
      <c r="F247">
        <v>0.995</v>
      </c>
      <c r="G247">
        <v>6</v>
      </c>
      <c r="H247">
        <v>100</v>
      </c>
      <c r="I247">
        <v>100</v>
      </c>
      <c r="J247">
        <v>111</v>
      </c>
      <c r="K247">
        <v>13.58</v>
      </c>
      <c r="L247" s="1" t="s">
        <v>884</v>
      </c>
      <c r="M247" s="1" t="s">
        <v>885</v>
      </c>
      <c r="N247" t="b">
        <v>0</v>
      </c>
      <c r="O247" s="1" t="s">
        <v>838</v>
      </c>
      <c r="P247">
        <v>12.5915413764557</v>
      </c>
      <c r="Q247" s="1" t="s">
        <v>886</v>
      </c>
      <c r="S247">
        <f>P247+P248+P249+P250+P251</f>
        <v>61.973054304303993</v>
      </c>
    </row>
    <row r="248" spans="1:23" x14ac:dyDescent="0.2">
      <c r="A248">
        <v>3</v>
      </c>
      <c r="B248">
        <v>1.5</v>
      </c>
      <c r="C248">
        <v>17</v>
      </c>
      <c r="D248" t="s">
        <v>71</v>
      </c>
      <c r="E248" t="s">
        <v>18</v>
      </c>
      <c r="F248">
        <v>0.995</v>
      </c>
      <c r="G248">
        <v>6</v>
      </c>
      <c r="H248">
        <v>100</v>
      </c>
      <c r="I248">
        <v>100</v>
      </c>
      <c r="J248">
        <v>106.1</v>
      </c>
      <c r="K248">
        <v>13.93</v>
      </c>
      <c r="L248" s="1" t="s">
        <v>887</v>
      </c>
      <c r="M248" s="1" t="s">
        <v>888</v>
      </c>
      <c r="N248" t="b">
        <v>0</v>
      </c>
      <c r="O248" s="1" t="s">
        <v>838</v>
      </c>
      <c r="P248" s="1">
        <v>13.5308197267988</v>
      </c>
      <c r="Q248" s="1" t="s">
        <v>889</v>
      </c>
    </row>
    <row r="249" spans="1:23" x14ac:dyDescent="0.2">
      <c r="A249">
        <v>3</v>
      </c>
      <c r="B249">
        <v>1.5</v>
      </c>
      <c r="C249">
        <v>18</v>
      </c>
      <c r="D249" t="s">
        <v>75</v>
      </c>
      <c r="E249" t="s">
        <v>18</v>
      </c>
      <c r="F249">
        <v>0.995</v>
      </c>
      <c r="G249">
        <v>6</v>
      </c>
      <c r="H249">
        <v>100</v>
      </c>
      <c r="I249">
        <v>100</v>
      </c>
      <c r="J249">
        <v>111.7</v>
      </c>
      <c r="K249">
        <v>13.15</v>
      </c>
      <c r="L249" s="1" t="s">
        <v>890</v>
      </c>
      <c r="M249" s="1" t="s">
        <v>891</v>
      </c>
      <c r="N249" t="b">
        <v>0</v>
      </c>
      <c r="O249" s="1" t="s">
        <v>838</v>
      </c>
      <c r="P249" s="1">
        <v>12.0962819791025</v>
      </c>
      <c r="Q249" s="1" t="s">
        <v>892</v>
      </c>
    </row>
    <row r="250" spans="1:23" x14ac:dyDescent="0.2">
      <c r="A250">
        <v>3</v>
      </c>
      <c r="B250">
        <v>1.5</v>
      </c>
      <c r="C250">
        <v>19</v>
      </c>
      <c r="D250" t="s">
        <v>78</v>
      </c>
      <c r="E250" t="s">
        <v>18</v>
      </c>
      <c r="F250">
        <v>0.995</v>
      </c>
      <c r="G250">
        <v>6</v>
      </c>
      <c r="H250">
        <v>100</v>
      </c>
      <c r="I250">
        <v>100</v>
      </c>
      <c r="J250">
        <v>110.3</v>
      </c>
      <c r="K250">
        <v>12.55</v>
      </c>
      <c r="L250" s="1" t="s">
        <v>893</v>
      </c>
      <c r="M250" s="1" t="s">
        <v>894</v>
      </c>
      <c r="N250" t="b">
        <v>0</v>
      </c>
      <c r="O250" s="1" t="s">
        <v>838</v>
      </c>
      <c r="P250" s="1">
        <v>11.661942422524501</v>
      </c>
      <c r="Q250" s="1" t="s">
        <v>895</v>
      </c>
    </row>
    <row r="251" spans="1:23" x14ac:dyDescent="0.2">
      <c r="A251">
        <v>3</v>
      </c>
      <c r="B251">
        <v>1.5</v>
      </c>
      <c r="C251">
        <v>20</v>
      </c>
      <c r="D251" t="s">
        <v>82</v>
      </c>
      <c r="E251" t="s">
        <v>18</v>
      </c>
      <c r="F251">
        <v>0.995</v>
      </c>
      <c r="G251">
        <v>6</v>
      </c>
      <c r="H251">
        <v>100</v>
      </c>
      <c r="I251">
        <v>100</v>
      </c>
      <c r="J251">
        <v>100.4</v>
      </c>
      <c r="K251">
        <v>11.88</v>
      </c>
      <c r="L251" s="1" t="s">
        <v>896</v>
      </c>
      <c r="M251" s="1" t="s">
        <v>897</v>
      </c>
      <c r="N251" t="b">
        <v>0</v>
      </c>
      <c r="O251" s="1" t="s">
        <v>838</v>
      </c>
      <c r="P251" s="1">
        <v>12.0924687994225</v>
      </c>
      <c r="Q251" s="1" t="s">
        <v>898</v>
      </c>
    </row>
    <row r="252" spans="1:23" x14ac:dyDescent="0.2">
      <c r="A252">
        <v>3</v>
      </c>
      <c r="B252">
        <v>1.5</v>
      </c>
      <c r="C252">
        <v>21</v>
      </c>
      <c r="D252" t="s">
        <v>86</v>
      </c>
      <c r="E252" t="s">
        <v>18</v>
      </c>
      <c r="F252">
        <v>0.995</v>
      </c>
      <c r="G252">
        <v>6</v>
      </c>
      <c r="H252">
        <v>250</v>
      </c>
      <c r="I252">
        <v>250</v>
      </c>
      <c r="J252">
        <v>115.9</v>
      </c>
      <c r="K252">
        <v>30.86</v>
      </c>
      <c r="L252" s="1" t="s">
        <v>899</v>
      </c>
      <c r="M252" s="1" t="s">
        <v>900</v>
      </c>
      <c r="N252" t="b">
        <v>0</v>
      </c>
      <c r="O252" s="1" t="s">
        <v>838</v>
      </c>
      <c r="P252" s="1">
        <v>28.177093734175301</v>
      </c>
      <c r="Q252" s="1" t="s">
        <v>901</v>
      </c>
      <c r="S252">
        <f>P252+P253+P254+P255+P256</f>
        <v>157.0448591956858</v>
      </c>
    </row>
    <row r="253" spans="1:23" x14ac:dyDescent="0.2">
      <c r="A253">
        <v>3</v>
      </c>
      <c r="B253">
        <v>1.5</v>
      </c>
      <c r="C253">
        <v>22</v>
      </c>
      <c r="D253" t="s">
        <v>90</v>
      </c>
      <c r="E253" t="s">
        <v>18</v>
      </c>
      <c r="F253">
        <v>0.995</v>
      </c>
      <c r="G253">
        <v>6</v>
      </c>
      <c r="H253">
        <v>250</v>
      </c>
      <c r="I253">
        <v>250</v>
      </c>
      <c r="J253">
        <v>115.6</v>
      </c>
      <c r="K253">
        <v>38.31</v>
      </c>
      <c r="L253" s="1" t="s">
        <v>902</v>
      </c>
      <c r="M253" s="1" t="s">
        <v>903</v>
      </c>
      <c r="N253" t="b">
        <v>0</v>
      </c>
      <c r="O253" s="1" t="s">
        <v>838</v>
      </c>
      <c r="P253" s="1">
        <v>35.217771548381101</v>
      </c>
      <c r="Q253" s="1" t="s">
        <v>904</v>
      </c>
      <c r="S253">
        <f>S252/5</f>
        <v>31.408971839137159</v>
      </c>
    </row>
    <row r="254" spans="1:23" x14ac:dyDescent="0.2">
      <c r="A254">
        <v>3</v>
      </c>
      <c r="B254">
        <v>1.5</v>
      </c>
      <c r="C254">
        <v>23</v>
      </c>
      <c r="D254" t="s">
        <v>94</v>
      </c>
      <c r="E254" t="s">
        <v>18</v>
      </c>
      <c r="F254">
        <v>0.995</v>
      </c>
      <c r="G254">
        <v>6</v>
      </c>
      <c r="H254">
        <v>250</v>
      </c>
      <c r="I254">
        <v>250</v>
      </c>
      <c r="J254">
        <v>111</v>
      </c>
      <c r="K254">
        <v>35.51</v>
      </c>
      <c r="L254" s="1" t="s">
        <v>884</v>
      </c>
      <c r="M254" s="1" t="s">
        <v>905</v>
      </c>
      <c r="N254" t="b">
        <v>0</v>
      </c>
      <c r="O254" s="1" t="s">
        <v>838</v>
      </c>
      <c r="P254">
        <v>33.952479497482102</v>
      </c>
      <c r="Q254" s="1" t="s">
        <v>906</v>
      </c>
    </row>
    <row r="255" spans="1:23" x14ac:dyDescent="0.2">
      <c r="A255">
        <v>3</v>
      </c>
      <c r="B255">
        <v>1.5</v>
      </c>
      <c r="C255">
        <v>24</v>
      </c>
      <c r="D255" t="s">
        <v>98</v>
      </c>
      <c r="E255" t="s">
        <v>18</v>
      </c>
      <c r="F255">
        <v>0.995</v>
      </c>
      <c r="G255">
        <v>6</v>
      </c>
      <c r="H255">
        <v>250</v>
      </c>
      <c r="I255">
        <v>250</v>
      </c>
      <c r="J255">
        <v>109.8</v>
      </c>
      <c r="K255">
        <v>31.69</v>
      </c>
      <c r="L255">
        <v>0.98471534310949604</v>
      </c>
      <c r="M255" s="1" t="s">
        <v>907</v>
      </c>
      <c r="N255" t="b">
        <v>0</v>
      </c>
      <c r="O255" s="1" t="s">
        <v>838</v>
      </c>
      <c r="P255" s="1">
        <v>30.562594213582202</v>
      </c>
      <c r="Q255" s="1" t="s">
        <v>908</v>
      </c>
    </row>
    <row r="256" spans="1:23" x14ac:dyDescent="0.2">
      <c r="A256">
        <v>3</v>
      </c>
      <c r="B256">
        <v>1.5</v>
      </c>
      <c r="C256">
        <v>25</v>
      </c>
      <c r="D256" t="s">
        <v>102</v>
      </c>
      <c r="E256" t="s">
        <v>18</v>
      </c>
      <c r="F256">
        <v>0.995</v>
      </c>
      <c r="G256">
        <v>6</v>
      </c>
      <c r="H256">
        <v>250</v>
      </c>
      <c r="I256">
        <v>250</v>
      </c>
      <c r="J256">
        <v>112.8</v>
      </c>
      <c r="K256">
        <v>31.05</v>
      </c>
      <c r="L256" s="1" t="s">
        <v>909</v>
      </c>
      <c r="M256" s="1" t="s">
        <v>910</v>
      </c>
      <c r="N256" t="b">
        <v>0</v>
      </c>
      <c r="O256" s="1" t="s">
        <v>838</v>
      </c>
      <c r="P256" s="1">
        <v>29.1349202020651</v>
      </c>
      <c r="Q256" s="1" t="s">
        <v>911</v>
      </c>
    </row>
    <row r="257" spans="1:19" x14ac:dyDescent="0.2">
      <c r="A257">
        <v>3</v>
      </c>
      <c r="B257">
        <v>1.5</v>
      </c>
      <c r="C257">
        <v>26</v>
      </c>
      <c r="D257" t="s">
        <v>106</v>
      </c>
      <c r="E257" t="s">
        <v>18</v>
      </c>
      <c r="F257">
        <v>0.995</v>
      </c>
      <c r="G257">
        <v>6</v>
      </c>
      <c r="H257">
        <v>500</v>
      </c>
      <c r="I257">
        <v>500</v>
      </c>
      <c r="J257">
        <v>117.9</v>
      </c>
      <c r="K257">
        <v>66.599999999999994</v>
      </c>
      <c r="L257" s="1" t="s">
        <v>912</v>
      </c>
      <c r="M257" s="1" t="s">
        <v>913</v>
      </c>
      <c r="N257" t="b">
        <v>0</v>
      </c>
      <c r="O257" s="1" t="s">
        <v>838</v>
      </c>
      <c r="P257" s="1">
        <v>60.470136880073902</v>
      </c>
      <c r="Q257" s="1" t="s">
        <v>914</v>
      </c>
      <c r="S257">
        <f>P257+P258+P259+P260+P261</f>
        <v>289.992262942227</v>
      </c>
    </row>
    <row r="258" spans="1:19" x14ac:dyDescent="0.2">
      <c r="A258">
        <v>3</v>
      </c>
      <c r="B258">
        <v>1.5</v>
      </c>
      <c r="C258">
        <v>27</v>
      </c>
      <c r="D258" t="s">
        <v>110</v>
      </c>
      <c r="E258" t="s">
        <v>18</v>
      </c>
      <c r="F258">
        <v>0.995</v>
      </c>
      <c r="G258">
        <v>6</v>
      </c>
      <c r="H258">
        <v>500</v>
      </c>
      <c r="I258">
        <v>500</v>
      </c>
      <c r="J258">
        <v>111.3</v>
      </c>
      <c r="K258">
        <v>62.41</v>
      </c>
      <c r="L258" s="1" t="s">
        <v>915</v>
      </c>
      <c r="M258" s="1" t="s">
        <v>916</v>
      </c>
      <c r="N258" t="b">
        <v>0</v>
      </c>
      <c r="O258" s="1" t="s">
        <v>838</v>
      </c>
      <c r="P258" s="1">
        <v>59.992024287617298</v>
      </c>
      <c r="Q258" s="1" t="s">
        <v>917</v>
      </c>
    </row>
    <row r="259" spans="1:19" x14ac:dyDescent="0.2">
      <c r="A259">
        <v>3</v>
      </c>
      <c r="B259">
        <v>1.5</v>
      </c>
      <c r="C259">
        <v>28</v>
      </c>
      <c r="D259" t="s">
        <v>114</v>
      </c>
      <c r="E259" t="s">
        <v>18</v>
      </c>
      <c r="F259">
        <v>0.995</v>
      </c>
      <c r="G259">
        <v>6</v>
      </c>
      <c r="H259">
        <v>500</v>
      </c>
      <c r="I259">
        <v>500</v>
      </c>
      <c r="J259">
        <v>126.6</v>
      </c>
      <c r="K259">
        <v>63.28</v>
      </c>
      <c r="L259" s="1" t="s">
        <v>918</v>
      </c>
      <c r="M259" s="1" t="s">
        <v>919</v>
      </c>
      <c r="N259" t="b">
        <v>0</v>
      </c>
      <c r="O259" s="1" t="s">
        <v>838</v>
      </c>
      <c r="P259" s="1">
        <v>53.473428945781698</v>
      </c>
      <c r="Q259" s="1" t="s">
        <v>920</v>
      </c>
    </row>
    <row r="260" spans="1:19" x14ac:dyDescent="0.2">
      <c r="A260">
        <v>3</v>
      </c>
      <c r="B260">
        <v>1.5</v>
      </c>
      <c r="C260">
        <v>29</v>
      </c>
      <c r="D260" t="s">
        <v>118</v>
      </c>
      <c r="E260" t="s">
        <v>18</v>
      </c>
      <c r="F260">
        <v>0.995</v>
      </c>
      <c r="G260">
        <v>6</v>
      </c>
      <c r="H260">
        <v>500</v>
      </c>
      <c r="I260">
        <v>500</v>
      </c>
      <c r="J260">
        <v>130.6</v>
      </c>
      <c r="K260">
        <v>64.069999999999993</v>
      </c>
      <c r="L260" s="1" t="s">
        <v>921</v>
      </c>
      <c r="M260" s="1" t="s">
        <v>922</v>
      </c>
      <c r="N260" t="b">
        <v>0</v>
      </c>
      <c r="O260" s="1" t="s">
        <v>838</v>
      </c>
      <c r="P260" s="1">
        <v>52.487039053847099</v>
      </c>
      <c r="Q260" s="1" t="s">
        <v>923</v>
      </c>
    </row>
    <row r="261" spans="1:19" x14ac:dyDescent="0.2">
      <c r="A261">
        <v>3</v>
      </c>
      <c r="B261">
        <v>1.5</v>
      </c>
      <c r="C261">
        <v>30</v>
      </c>
      <c r="D261" t="s">
        <v>122</v>
      </c>
      <c r="E261" t="s">
        <v>18</v>
      </c>
      <c r="F261">
        <v>0.995</v>
      </c>
      <c r="G261">
        <v>6</v>
      </c>
      <c r="H261">
        <v>500</v>
      </c>
      <c r="I261">
        <v>500</v>
      </c>
      <c r="J261">
        <v>105.2</v>
      </c>
      <c r="K261">
        <v>62.5</v>
      </c>
      <c r="L261" s="1" t="s">
        <v>924</v>
      </c>
      <c r="M261" s="1" t="s">
        <v>925</v>
      </c>
      <c r="N261" t="b">
        <v>0</v>
      </c>
      <c r="O261" s="1" t="s">
        <v>838</v>
      </c>
      <c r="P261" s="1">
        <v>63.569633774906997</v>
      </c>
      <c r="Q261" s="1" t="s">
        <v>926</v>
      </c>
    </row>
    <row r="262" spans="1:19" x14ac:dyDescent="0.2">
      <c r="A262">
        <v>3</v>
      </c>
      <c r="B262">
        <v>1.5</v>
      </c>
      <c r="C262">
        <v>31</v>
      </c>
      <c r="D262" t="s">
        <v>126</v>
      </c>
      <c r="E262" t="s">
        <v>18</v>
      </c>
      <c r="F262">
        <v>0.995</v>
      </c>
      <c r="G262">
        <v>6</v>
      </c>
      <c r="H262">
        <v>1000</v>
      </c>
      <c r="I262">
        <v>1000</v>
      </c>
      <c r="J262">
        <v>112.8</v>
      </c>
      <c r="K262">
        <v>130.4</v>
      </c>
      <c r="L262" s="1" t="s">
        <v>909</v>
      </c>
      <c r="M262" s="1" t="s">
        <v>927</v>
      </c>
      <c r="N262" t="b">
        <v>0</v>
      </c>
      <c r="O262" s="1" t="s">
        <v>838</v>
      </c>
      <c r="P262" s="1">
        <v>124.359970658915</v>
      </c>
      <c r="Q262" s="1" t="s">
        <v>928</v>
      </c>
      <c r="S262">
        <f>P262+P263+P264+P265+P266</f>
        <v>624.92834990422807</v>
      </c>
    </row>
    <row r="263" spans="1:19" x14ac:dyDescent="0.2">
      <c r="A263">
        <v>3</v>
      </c>
      <c r="B263">
        <v>1.5</v>
      </c>
      <c r="C263">
        <v>32</v>
      </c>
      <c r="D263" t="s">
        <v>130</v>
      </c>
      <c r="E263" t="s">
        <v>18</v>
      </c>
      <c r="F263">
        <v>0.995</v>
      </c>
      <c r="G263">
        <v>6</v>
      </c>
      <c r="H263">
        <v>1000</v>
      </c>
      <c r="I263">
        <v>1000</v>
      </c>
      <c r="J263">
        <v>106.9</v>
      </c>
      <c r="K263">
        <v>130.5</v>
      </c>
      <c r="L263" s="1" t="s">
        <v>929</v>
      </c>
      <c r="M263" s="1" t="s">
        <v>930</v>
      </c>
      <c r="N263" t="b">
        <v>0</v>
      </c>
      <c r="O263" s="1" t="s">
        <v>838</v>
      </c>
      <c r="P263" s="1">
        <v>131.33734255482</v>
      </c>
      <c r="Q263" s="1" t="s">
        <v>931</v>
      </c>
    </row>
    <row r="264" spans="1:19" x14ac:dyDescent="0.2">
      <c r="A264">
        <v>3</v>
      </c>
      <c r="B264">
        <v>1.5</v>
      </c>
      <c r="C264">
        <v>33</v>
      </c>
      <c r="D264" t="s">
        <v>134</v>
      </c>
      <c r="E264" t="s">
        <v>18</v>
      </c>
      <c r="F264">
        <v>0.995</v>
      </c>
      <c r="G264">
        <v>6</v>
      </c>
      <c r="H264">
        <v>1000</v>
      </c>
      <c r="I264">
        <v>1000</v>
      </c>
      <c r="J264">
        <v>111.1</v>
      </c>
      <c r="K264">
        <v>135.69999999999999</v>
      </c>
      <c r="L264" s="1" t="s">
        <v>932</v>
      </c>
      <c r="M264" s="1" t="s">
        <v>933</v>
      </c>
      <c r="N264" t="b">
        <v>0</v>
      </c>
      <c r="O264" s="1" t="s">
        <v>838</v>
      </c>
      <c r="P264" s="1">
        <v>131.42403880393201</v>
      </c>
      <c r="Q264" s="1" t="s">
        <v>934</v>
      </c>
    </row>
    <row r="265" spans="1:19" x14ac:dyDescent="0.2">
      <c r="A265">
        <v>3</v>
      </c>
      <c r="B265">
        <v>1.5</v>
      </c>
      <c r="C265">
        <v>34</v>
      </c>
      <c r="D265" t="s">
        <v>138</v>
      </c>
      <c r="E265" t="s">
        <v>18</v>
      </c>
      <c r="F265">
        <v>0.995</v>
      </c>
      <c r="G265">
        <v>6</v>
      </c>
      <c r="H265">
        <v>1000</v>
      </c>
      <c r="I265">
        <v>1000</v>
      </c>
      <c r="J265">
        <v>113.4</v>
      </c>
      <c r="K265">
        <v>126</v>
      </c>
      <c r="L265" s="1" t="s">
        <v>935</v>
      </c>
      <c r="M265" s="1" t="s">
        <v>936</v>
      </c>
      <c r="N265" t="b">
        <v>0</v>
      </c>
      <c r="O265" s="1" t="s">
        <v>838</v>
      </c>
      <c r="P265" s="1">
        <v>119.50588248929</v>
      </c>
      <c r="Q265" s="1" t="s">
        <v>937</v>
      </c>
    </row>
    <row r="266" spans="1:19" x14ac:dyDescent="0.2">
      <c r="A266">
        <v>3</v>
      </c>
      <c r="B266">
        <v>1.5</v>
      </c>
      <c r="C266">
        <v>35</v>
      </c>
      <c r="D266" t="s">
        <v>142</v>
      </c>
      <c r="E266" t="s">
        <v>18</v>
      </c>
      <c r="F266">
        <v>0.995</v>
      </c>
      <c r="G266">
        <v>6</v>
      </c>
      <c r="H266">
        <v>1000</v>
      </c>
      <c r="I266">
        <v>1000</v>
      </c>
      <c r="J266">
        <v>109.9</v>
      </c>
      <c r="K266">
        <v>120.9</v>
      </c>
      <c r="L266" s="1" t="s">
        <v>938</v>
      </c>
      <c r="M266" s="1" t="s">
        <v>939</v>
      </c>
      <c r="N266" t="b">
        <v>0</v>
      </c>
      <c r="O266" s="1" t="s">
        <v>838</v>
      </c>
      <c r="P266" s="1">
        <v>118.301115397271</v>
      </c>
      <c r="Q266" s="1" t="s">
        <v>940</v>
      </c>
    </row>
    <row r="267" spans="1:19" x14ac:dyDescent="0.2">
      <c r="A267">
        <v>3</v>
      </c>
      <c r="B267">
        <v>1.5</v>
      </c>
      <c r="C267">
        <v>36</v>
      </c>
      <c r="D267" t="s">
        <v>145</v>
      </c>
      <c r="E267" t="s">
        <v>18</v>
      </c>
      <c r="F267">
        <v>0.995</v>
      </c>
      <c r="G267">
        <v>6</v>
      </c>
      <c r="H267">
        <v>2000</v>
      </c>
      <c r="I267">
        <v>2000</v>
      </c>
      <c r="J267">
        <v>110.3</v>
      </c>
      <c r="K267">
        <v>268</v>
      </c>
      <c r="L267" s="1" t="s">
        <v>893</v>
      </c>
      <c r="M267" s="1" t="s">
        <v>941</v>
      </c>
      <c r="N267" t="b">
        <v>0</v>
      </c>
      <c r="O267" s="1" t="s">
        <v>838</v>
      </c>
      <c r="P267" s="1">
        <v>262.06517286973002</v>
      </c>
      <c r="Q267" s="1" t="s">
        <v>942</v>
      </c>
      <c r="S267">
        <f>P267+P268+P269+P270+P271</f>
        <v>1260.6547236581901</v>
      </c>
    </row>
    <row r="268" spans="1:19" x14ac:dyDescent="0.2">
      <c r="A268">
        <v>3</v>
      </c>
      <c r="B268">
        <v>1.5</v>
      </c>
      <c r="C268">
        <v>37</v>
      </c>
      <c r="D268" t="s">
        <v>149</v>
      </c>
      <c r="E268" t="s">
        <v>18</v>
      </c>
      <c r="F268">
        <v>0.995</v>
      </c>
      <c r="G268">
        <v>6</v>
      </c>
      <c r="H268">
        <v>2000</v>
      </c>
      <c r="I268">
        <v>2000</v>
      </c>
      <c r="J268">
        <v>111</v>
      </c>
      <c r="K268">
        <v>254.7</v>
      </c>
      <c r="L268" s="1" t="s">
        <v>884</v>
      </c>
      <c r="M268" s="1" t="s">
        <v>943</v>
      </c>
      <c r="N268" t="b">
        <v>0</v>
      </c>
      <c r="O268" s="1" t="s">
        <v>838</v>
      </c>
      <c r="P268" s="1">
        <v>247.45471509929499</v>
      </c>
      <c r="Q268" s="1" t="s">
        <v>944</v>
      </c>
    </row>
    <row r="269" spans="1:19" x14ac:dyDescent="0.2">
      <c r="A269">
        <v>3</v>
      </c>
      <c r="B269">
        <v>1.5</v>
      </c>
      <c r="C269">
        <v>38</v>
      </c>
      <c r="D269" t="s">
        <v>151</v>
      </c>
      <c r="E269" t="s">
        <v>18</v>
      </c>
      <c r="F269">
        <v>0.995</v>
      </c>
      <c r="G269">
        <v>6</v>
      </c>
      <c r="H269">
        <v>2000</v>
      </c>
      <c r="I269">
        <v>2000</v>
      </c>
      <c r="J269">
        <v>108.9</v>
      </c>
      <c r="K269">
        <v>254.1</v>
      </c>
      <c r="L269" s="1" t="s">
        <v>945</v>
      </c>
      <c r="M269" s="1" t="s">
        <v>946</v>
      </c>
      <c r="N269" t="b">
        <v>0</v>
      </c>
      <c r="O269" s="1" t="s">
        <v>838</v>
      </c>
      <c r="P269" s="1">
        <v>251.63943165839899</v>
      </c>
      <c r="Q269" s="1" t="s">
        <v>947</v>
      </c>
    </row>
    <row r="270" spans="1:19" x14ac:dyDescent="0.2">
      <c r="A270">
        <v>3</v>
      </c>
      <c r="B270">
        <v>1.5</v>
      </c>
      <c r="C270">
        <v>39</v>
      </c>
      <c r="D270" t="s">
        <v>154</v>
      </c>
      <c r="E270" t="s">
        <v>18</v>
      </c>
      <c r="F270">
        <v>0.995</v>
      </c>
      <c r="G270">
        <v>6</v>
      </c>
      <c r="H270">
        <v>2000</v>
      </c>
      <c r="I270">
        <v>2000</v>
      </c>
      <c r="J270">
        <v>107.4</v>
      </c>
      <c r="K270">
        <v>244.3</v>
      </c>
      <c r="L270" s="1" t="s">
        <v>948</v>
      </c>
      <c r="M270" s="1" t="s">
        <v>949</v>
      </c>
      <c r="N270" t="b">
        <v>0</v>
      </c>
      <c r="O270" s="1" t="s">
        <v>838</v>
      </c>
      <c r="P270" s="1">
        <v>245.294108243587</v>
      </c>
      <c r="Q270" s="1" t="s">
        <v>950</v>
      </c>
    </row>
    <row r="271" spans="1:19" x14ac:dyDescent="0.2">
      <c r="A271">
        <v>3</v>
      </c>
      <c r="B271">
        <v>1.5</v>
      </c>
      <c r="C271">
        <v>40</v>
      </c>
      <c r="D271" t="s">
        <v>158</v>
      </c>
      <c r="E271" t="s">
        <v>18</v>
      </c>
      <c r="F271">
        <v>0.995</v>
      </c>
      <c r="G271">
        <v>6</v>
      </c>
      <c r="H271">
        <v>2000</v>
      </c>
      <c r="I271">
        <v>2000</v>
      </c>
      <c r="J271">
        <v>109.8</v>
      </c>
      <c r="K271">
        <v>258.8</v>
      </c>
      <c r="L271">
        <v>0.98471534310949604</v>
      </c>
      <c r="M271" s="1" t="s">
        <v>951</v>
      </c>
      <c r="N271" t="b">
        <v>0</v>
      </c>
      <c r="O271" s="1" t="s">
        <v>838</v>
      </c>
      <c r="P271" s="1">
        <v>254.20129578717899</v>
      </c>
      <c r="Q271" s="1" t="s">
        <v>952</v>
      </c>
    </row>
    <row r="272" spans="1:19" x14ac:dyDescent="0.2">
      <c r="A272">
        <v>3</v>
      </c>
      <c r="B272">
        <v>1.5</v>
      </c>
      <c r="C272">
        <v>41</v>
      </c>
      <c r="D272" t="s">
        <v>162</v>
      </c>
      <c r="E272" t="s">
        <v>18</v>
      </c>
      <c r="F272">
        <v>0.995</v>
      </c>
      <c r="G272">
        <v>6</v>
      </c>
      <c r="H272">
        <v>3000</v>
      </c>
      <c r="I272">
        <v>3000</v>
      </c>
      <c r="J272">
        <v>105.5</v>
      </c>
      <c r="K272">
        <v>382.3</v>
      </c>
      <c r="L272" s="1" t="s">
        <v>953</v>
      </c>
      <c r="M272" s="1" t="s">
        <v>954</v>
      </c>
      <c r="N272" t="b">
        <v>0</v>
      </c>
      <c r="O272" s="1" t="s">
        <v>838</v>
      </c>
      <c r="P272" s="1">
        <v>391.15960561403301</v>
      </c>
      <c r="Q272" s="1" t="s">
        <v>955</v>
      </c>
      <c r="S272">
        <f>P272+P273+P274+P275+P276</f>
        <v>1883.7784053458231</v>
      </c>
    </row>
    <row r="273" spans="1:24" x14ac:dyDescent="0.2">
      <c r="A273">
        <v>3</v>
      </c>
      <c r="B273">
        <v>1.5</v>
      </c>
      <c r="C273">
        <v>42</v>
      </c>
      <c r="D273" t="s">
        <v>166</v>
      </c>
      <c r="E273" t="s">
        <v>18</v>
      </c>
      <c r="F273">
        <v>0.995</v>
      </c>
      <c r="G273">
        <v>6</v>
      </c>
      <c r="H273">
        <v>3000</v>
      </c>
      <c r="I273">
        <v>3000</v>
      </c>
      <c r="J273">
        <v>118.5</v>
      </c>
      <c r="K273">
        <v>384.6</v>
      </c>
      <c r="L273" s="1" t="s">
        <v>956</v>
      </c>
      <c r="M273" s="1" t="s">
        <v>957</v>
      </c>
      <c r="N273" t="b">
        <v>0</v>
      </c>
      <c r="O273" s="1" t="s">
        <v>838</v>
      </c>
      <c r="P273" s="1">
        <v>350.27494716228802</v>
      </c>
      <c r="Q273" s="1" t="s">
        <v>958</v>
      </c>
    </row>
    <row r="274" spans="1:24" x14ac:dyDescent="0.2">
      <c r="A274">
        <v>3</v>
      </c>
      <c r="B274">
        <v>1.5</v>
      </c>
      <c r="C274">
        <v>43</v>
      </c>
      <c r="D274" t="s">
        <v>170</v>
      </c>
      <c r="E274" t="s">
        <v>18</v>
      </c>
      <c r="F274">
        <v>0.995</v>
      </c>
      <c r="G274">
        <v>6</v>
      </c>
      <c r="H274">
        <v>3000</v>
      </c>
      <c r="I274">
        <v>3000</v>
      </c>
      <c r="J274">
        <v>117.9</v>
      </c>
      <c r="K274">
        <v>373.8</v>
      </c>
      <c r="L274" s="1" t="s">
        <v>912</v>
      </c>
      <c r="M274" s="1" t="s">
        <v>959</v>
      </c>
      <c r="N274" t="b">
        <v>0</v>
      </c>
      <c r="O274" s="1" t="s">
        <v>838</v>
      </c>
      <c r="P274">
        <v>342.157409920406</v>
      </c>
      <c r="Q274" s="1" t="s">
        <v>960</v>
      </c>
    </row>
    <row r="275" spans="1:24" x14ac:dyDescent="0.2">
      <c r="A275">
        <v>3</v>
      </c>
      <c r="B275">
        <v>1.5</v>
      </c>
      <c r="C275">
        <v>44</v>
      </c>
      <c r="D275" t="s">
        <v>174</v>
      </c>
      <c r="E275" t="s">
        <v>18</v>
      </c>
      <c r="F275">
        <v>0.995</v>
      </c>
      <c r="G275">
        <v>6</v>
      </c>
      <c r="H275">
        <v>3000</v>
      </c>
      <c r="I275">
        <v>3000</v>
      </c>
      <c r="J275">
        <v>108.7</v>
      </c>
      <c r="K275">
        <v>419.1</v>
      </c>
      <c r="L275" s="1" t="s">
        <v>961</v>
      </c>
      <c r="M275" s="1" t="s">
        <v>962</v>
      </c>
      <c r="N275" t="b">
        <v>0</v>
      </c>
      <c r="O275" s="1" t="s">
        <v>838</v>
      </c>
      <c r="P275" s="1">
        <v>416.228470570453</v>
      </c>
      <c r="Q275" s="1" t="s">
        <v>963</v>
      </c>
    </row>
    <row r="276" spans="1:24" x14ac:dyDescent="0.2">
      <c r="A276">
        <v>3</v>
      </c>
      <c r="B276">
        <v>1.5</v>
      </c>
      <c r="C276">
        <v>45</v>
      </c>
      <c r="D276" t="s">
        <v>177</v>
      </c>
      <c r="E276" t="s">
        <v>18</v>
      </c>
      <c r="F276">
        <v>0.995</v>
      </c>
      <c r="G276">
        <v>6</v>
      </c>
      <c r="H276">
        <v>3000</v>
      </c>
      <c r="I276">
        <v>3000</v>
      </c>
      <c r="J276">
        <v>107.7</v>
      </c>
      <c r="K276">
        <v>383.1</v>
      </c>
      <c r="L276" s="1" t="s">
        <v>964</v>
      </c>
      <c r="M276" s="1" t="s">
        <v>965</v>
      </c>
      <c r="N276" t="b">
        <v>0</v>
      </c>
      <c r="O276" s="1" t="s">
        <v>838</v>
      </c>
      <c r="P276" s="1">
        <v>383.95797207864302</v>
      </c>
      <c r="Q276" s="1" t="s">
        <v>966</v>
      </c>
    </row>
    <row r="277" spans="1:24" x14ac:dyDescent="0.2">
      <c r="A277">
        <v>3</v>
      </c>
      <c r="B277">
        <v>1.5</v>
      </c>
      <c r="C277">
        <v>46</v>
      </c>
      <c r="D277" t="s">
        <v>180</v>
      </c>
      <c r="E277" t="s">
        <v>18</v>
      </c>
      <c r="F277">
        <v>0.995</v>
      </c>
      <c r="G277">
        <v>6</v>
      </c>
      <c r="H277">
        <v>5000</v>
      </c>
      <c r="I277">
        <v>5000</v>
      </c>
      <c r="J277">
        <v>104.9</v>
      </c>
      <c r="K277">
        <v>597</v>
      </c>
      <c r="L277" s="1" t="s">
        <v>967</v>
      </c>
      <c r="M277" s="1" t="s">
        <v>968</v>
      </c>
      <c r="N277" t="b">
        <v>0</v>
      </c>
      <c r="O277" s="1" t="s">
        <v>838</v>
      </c>
      <c r="P277" s="1">
        <v>614.71353553267102</v>
      </c>
      <c r="Q277">
        <v>368828.121319603</v>
      </c>
      <c r="S277">
        <f>P277+P278+P279+P280+P281</f>
        <v>3254.105619383774</v>
      </c>
    </row>
    <row r="278" spans="1:24" x14ac:dyDescent="0.2">
      <c r="A278">
        <v>3</v>
      </c>
      <c r="B278">
        <v>1.5</v>
      </c>
      <c r="C278">
        <v>47</v>
      </c>
      <c r="D278" t="s">
        <v>184</v>
      </c>
      <c r="E278" t="s">
        <v>18</v>
      </c>
      <c r="F278">
        <v>0.995</v>
      </c>
      <c r="G278">
        <v>6</v>
      </c>
      <c r="H278">
        <v>5000</v>
      </c>
      <c r="I278">
        <v>5000</v>
      </c>
      <c r="J278">
        <v>113.2</v>
      </c>
      <c r="K278">
        <v>772.4</v>
      </c>
      <c r="L278" s="1" t="s">
        <v>969</v>
      </c>
      <c r="M278" s="1" t="s">
        <v>970</v>
      </c>
      <c r="N278" t="b">
        <v>0</v>
      </c>
      <c r="O278" s="1" t="s">
        <v>838</v>
      </c>
      <c r="P278" s="1">
        <v>737.08621462216001</v>
      </c>
      <c r="Q278" s="1" t="s">
        <v>971</v>
      </c>
    </row>
    <row r="279" spans="1:24" x14ac:dyDescent="0.2">
      <c r="A279">
        <v>3</v>
      </c>
      <c r="B279">
        <v>1.5</v>
      </c>
      <c r="C279">
        <v>48</v>
      </c>
      <c r="D279" t="s">
        <v>187</v>
      </c>
      <c r="E279" t="s">
        <v>18</v>
      </c>
      <c r="F279">
        <v>0.995</v>
      </c>
      <c r="G279">
        <v>6</v>
      </c>
      <c r="H279">
        <v>5000</v>
      </c>
      <c r="I279">
        <v>5000</v>
      </c>
      <c r="J279">
        <v>110.6</v>
      </c>
      <c r="K279">
        <v>656.7</v>
      </c>
      <c r="L279" s="1" t="s">
        <v>972</v>
      </c>
      <c r="M279" s="1" t="s">
        <v>973</v>
      </c>
      <c r="N279" t="b">
        <v>0</v>
      </c>
      <c r="O279" s="1" t="s">
        <v>838</v>
      </c>
      <c r="P279" s="1">
        <v>641.338419255345</v>
      </c>
      <c r="Q279" s="1" t="s">
        <v>974</v>
      </c>
    </row>
    <row r="280" spans="1:24" x14ac:dyDescent="0.2">
      <c r="A280">
        <v>3</v>
      </c>
      <c r="B280">
        <v>1.5</v>
      </c>
      <c r="C280">
        <v>49</v>
      </c>
      <c r="D280" t="s">
        <v>975</v>
      </c>
      <c r="E280" t="s">
        <v>18</v>
      </c>
      <c r="F280">
        <v>0.995</v>
      </c>
      <c r="G280">
        <v>6</v>
      </c>
      <c r="H280">
        <v>5000</v>
      </c>
      <c r="I280">
        <v>5000</v>
      </c>
      <c r="J280">
        <v>118.4</v>
      </c>
      <c r="K280">
        <v>709.6</v>
      </c>
      <c r="L280" s="1" t="s">
        <v>976</v>
      </c>
      <c r="M280">
        <v>647.91595850579802</v>
      </c>
      <c r="N280" t="b">
        <v>0</v>
      </c>
      <c r="O280" s="1" t="s">
        <v>838</v>
      </c>
      <c r="P280" s="1">
        <v>647.31970769347197</v>
      </c>
      <c r="Q280" s="1" t="s">
        <v>977</v>
      </c>
    </row>
    <row r="281" spans="1:24" x14ac:dyDescent="0.2">
      <c r="A281">
        <v>3</v>
      </c>
      <c r="B281">
        <v>1.5</v>
      </c>
      <c r="C281">
        <v>50</v>
      </c>
      <c r="D281" t="s">
        <v>191</v>
      </c>
      <c r="E281" t="s">
        <v>18</v>
      </c>
      <c r="F281">
        <v>0.995</v>
      </c>
      <c r="G281">
        <v>6</v>
      </c>
      <c r="H281">
        <v>5000</v>
      </c>
      <c r="I281">
        <v>5000</v>
      </c>
      <c r="J281">
        <v>110.2</v>
      </c>
      <c r="K281">
        <v>626.1</v>
      </c>
      <c r="L281" s="1" t="s">
        <v>836</v>
      </c>
      <c r="M281" s="1" t="s">
        <v>978</v>
      </c>
      <c r="N281" t="b">
        <v>0</v>
      </c>
      <c r="O281" s="1" t="s">
        <v>838</v>
      </c>
      <c r="P281" s="1">
        <v>613.64774228012595</v>
      </c>
      <c r="Q281" s="1" t="s">
        <v>979</v>
      </c>
    </row>
    <row r="282" spans="1:24" x14ac:dyDescent="0.2">
      <c r="A282">
        <v>3</v>
      </c>
      <c r="B282">
        <v>1.5</v>
      </c>
      <c r="C282">
        <v>51</v>
      </c>
      <c r="D282" t="s">
        <v>980</v>
      </c>
      <c r="E282" t="s">
        <v>18</v>
      </c>
      <c r="F282">
        <v>0.995</v>
      </c>
      <c r="G282">
        <v>6</v>
      </c>
      <c r="H282">
        <v>0</v>
      </c>
      <c r="I282">
        <v>0</v>
      </c>
      <c r="J282">
        <v>96.88</v>
      </c>
      <c r="K282">
        <v>0.62470000000000003</v>
      </c>
      <c r="L282" s="1" t="s">
        <v>981</v>
      </c>
      <c r="M282" s="1" t="s">
        <v>982</v>
      </c>
      <c r="N282" t="b">
        <v>1</v>
      </c>
      <c r="O282" s="1" t="s">
        <v>838</v>
      </c>
      <c r="P282">
        <v>3.1609400516183897E-2</v>
      </c>
      <c r="Q282">
        <v>1.9845620605487502E-2</v>
      </c>
      <c r="S282">
        <f>P282+P283+P284+P285+P286</f>
        <v>0.74443526158876927</v>
      </c>
    </row>
    <row r="283" spans="1:24" x14ac:dyDescent="0.2">
      <c r="A283">
        <v>3</v>
      </c>
      <c r="B283">
        <v>1.5</v>
      </c>
      <c r="C283">
        <v>52</v>
      </c>
      <c r="D283" t="s">
        <v>194</v>
      </c>
      <c r="E283" t="s">
        <v>18</v>
      </c>
      <c r="F283">
        <v>0.995</v>
      </c>
      <c r="G283">
        <v>6</v>
      </c>
      <c r="H283">
        <v>0</v>
      </c>
      <c r="I283">
        <v>0</v>
      </c>
      <c r="J283">
        <v>104.3</v>
      </c>
      <c r="K283">
        <v>0.71030000000000004</v>
      </c>
      <c r="L283" s="1" t="s">
        <v>983</v>
      </c>
      <c r="M283" s="1" t="s">
        <v>984</v>
      </c>
      <c r="N283" t="b">
        <v>1</v>
      </c>
      <c r="O283" s="1" t="s">
        <v>838</v>
      </c>
      <c r="P283" s="1">
        <v>5.9388436321717503E-2</v>
      </c>
      <c r="Q283">
        <v>4.2395584240518501E-2</v>
      </c>
    </row>
    <row r="284" spans="1:24" x14ac:dyDescent="0.2">
      <c r="A284">
        <v>3</v>
      </c>
      <c r="B284">
        <v>1.5</v>
      </c>
      <c r="C284">
        <v>53</v>
      </c>
      <c r="D284" t="s">
        <v>197</v>
      </c>
      <c r="E284" t="s">
        <v>18</v>
      </c>
      <c r="F284">
        <v>0.995</v>
      </c>
      <c r="G284">
        <v>6</v>
      </c>
      <c r="H284">
        <v>0</v>
      </c>
      <c r="I284">
        <v>0</v>
      </c>
      <c r="J284">
        <v>110</v>
      </c>
      <c r="K284">
        <v>0.72950000000000004</v>
      </c>
      <c r="L284" s="1" t="s">
        <v>985</v>
      </c>
      <c r="M284" s="1" t="s">
        <v>986</v>
      </c>
      <c r="N284" t="b">
        <v>1</v>
      </c>
      <c r="O284" s="1" t="s">
        <v>838</v>
      </c>
      <c r="P284">
        <v>7.5177653332618194E-2</v>
      </c>
      <c r="Q284" s="1" t="s">
        <v>987</v>
      </c>
    </row>
    <row r="285" spans="1:24" x14ac:dyDescent="0.2">
      <c r="A285">
        <v>3</v>
      </c>
      <c r="B285">
        <v>1.5</v>
      </c>
      <c r="C285">
        <v>54</v>
      </c>
      <c r="D285" t="s">
        <v>201</v>
      </c>
      <c r="E285" t="s">
        <v>18</v>
      </c>
      <c r="F285">
        <v>0.995</v>
      </c>
      <c r="G285">
        <v>6</v>
      </c>
      <c r="H285">
        <v>0</v>
      </c>
      <c r="I285">
        <v>0</v>
      </c>
      <c r="J285">
        <v>104.4</v>
      </c>
      <c r="K285">
        <v>0.67569999999999997</v>
      </c>
      <c r="L285" s="1" t="s">
        <v>988</v>
      </c>
      <c r="M285" s="1" t="s">
        <v>989</v>
      </c>
      <c r="N285" t="b">
        <v>1</v>
      </c>
      <c r="O285" s="1" t="s">
        <v>838</v>
      </c>
      <c r="P285">
        <v>2.3494685475155701E-2</v>
      </c>
      <c r="Q285" s="1" t="s">
        <v>990</v>
      </c>
    </row>
    <row r="286" spans="1:24" x14ac:dyDescent="0.2">
      <c r="A286">
        <v>3</v>
      </c>
      <c r="B286">
        <v>1.5</v>
      </c>
      <c r="C286">
        <v>55</v>
      </c>
      <c r="D286" t="s">
        <v>204</v>
      </c>
      <c r="E286" t="s">
        <v>18</v>
      </c>
      <c r="F286">
        <v>0.995</v>
      </c>
      <c r="G286">
        <v>6</v>
      </c>
      <c r="H286">
        <v>0</v>
      </c>
      <c r="I286">
        <v>0</v>
      </c>
      <c r="J286">
        <v>107</v>
      </c>
      <c r="K286">
        <v>1.202</v>
      </c>
      <c r="L286" s="1" t="s">
        <v>991</v>
      </c>
      <c r="M286" s="1" t="s">
        <v>992</v>
      </c>
      <c r="N286" t="b">
        <v>1</v>
      </c>
      <c r="O286" s="1" t="s">
        <v>838</v>
      </c>
      <c r="P286" s="1">
        <v>0.55476508594309404</v>
      </c>
      <c r="Q286" s="1" t="s">
        <v>993</v>
      </c>
    </row>
    <row r="287" spans="1:24" x14ac:dyDescent="0.2">
      <c r="A287">
        <v>3</v>
      </c>
      <c r="B287">
        <v>1.5</v>
      </c>
      <c r="C287">
        <v>56</v>
      </c>
      <c r="D287" t="s">
        <v>207</v>
      </c>
      <c r="E287" t="s">
        <v>18</v>
      </c>
      <c r="F287">
        <v>0.995</v>
      </c>
      <c r="G287">
        <v>10</v>
      </c>
      <c r="H287">
        <v>10</v>
      </c>
      <c r="I287">
        <v>10</v>
      </c>
      <c r="J287">
        <v>111.3</v>
      </c>
      <c r="K287">
        <v>2.0880000000000001</v>
      </c>
      <c r="L287" s="1" t="s">
        <v>915</v>
      </c>
      <c r="M287" s="1" t="s">
        <v>994</v>
      </c>
      <c r="N287" t="b">
        <v>0</v>
      </c>
      <c r="O287" s="1" t="s">
        <v>838</v>
      </c>
      <c r="P287" s="1">
        <v>1.39397330256845</v>
      </c>
      <c r="Q287" s="1" t="s">
        <v>995</v>
      </c>
      <c r="S287">
        <f>P287+P288+P289+P290+P291</f>
        <v>6.0537022958087903</v>
      </c>
      <c r="V287">
        <v>0</v>
      </c>
      <c r="W287">
        <f>S337/5</f>
        <v>0.15948972397270694</v>
      </c>
      <c r="X287">
        <f>_xlfn.STDEV.S(P337:P341)</f>
        <v>6.3304902564643536E-2</v>
      </c>
    </row>
    <row r="288" spans="1:24" x14ac:dyDescent="0.2">
      <c r="A288">
        <v>3</v>
      </c>
      <c r="B288">
        <v>1.5</v>
      </c>
      <c r="C288">
        <v>57</v>
      </c>
      <c r="D288" t="s">
        <v>210</v>
      </c>
      <c r="E288" t="s">
        <v>18</v>
      </c>
      <c r="F288">
        <v>0.995</v>
      </c>
      <c r="G288">
        <v>10</v>
      </c>
      <c r="H288">
        <v>10</v>
      </c>
      <c r="I288">
        <v>10</v>
      </c>
      <c r="J288">
        <v>115.5</v>
      </c>
      <c r="K288">
        <v>2.0059999999999998</v>
      </c>
      <c r="L288" s="1" t="s">
        <v>996</v>
      </c>
      <c r="M288" s="1" t="s">
        <v>997</v>
      </c>
      <c r="N288" t="b">
        <v>0</v>
      </c>
      <c r="O288" s="1" t="s">
        <v>838</v>
      </c>
      <c r="P288" s="1">
        <v>1.2664424037586199</v>
      </c>
      <c r="Q288" s="1" t="s">
        <v>998</v>
      </c>
      <c r="V288">
        <v>10</v>
      </c>
      <c r="W288">
        <f>S287/5</f>
        <v>1.2107404591617581</v>
      </c>
      <c r="X288">
        <f>_xlfn.STDEV.S(P287:P291)</f>
        <v>0.13836240879355977</v>
      </c>
    </row>
    <row r="289" spans="1:24" x14ac:dyDescent="0.2">
      <c r="A289">
        <v>3</v>
      </c>
      <c r="B289">
        <v>1.5</v>
      </c>
      <c r="C289">
        <v>58</v>
      </c>
      <c r="D289" t="s">
        <v>213</v>
      </c>
      <c r="E289" t="s">
        <v>18</v>
      </c>
      <c r="F289">
        <v>0.995</v>
      </c>
      <c r="G289">
        <v>10</v>
      </c>
      <c r="H289">
        <v>10</v>
      </c>
      <c r="I289">
        <v>10</v>
      </c>
      <c r="J289">
        <v>109.4</v>
      </c>
      <c r="K289">
        <v>1.744</v>
      </c>
      <c r="L289" s="1" t="s">
        <v>999</v>
      </c>
      <c r="M289" s="1" t="s">
        <v>1000</v>
      </c>
      <c r="N289" t="b">
        <v>0</v>
      </c>
      <c r="O289" s="1" t="s">
        <v>838</v>
      </c>
      <c r="P289" s="1">
        <v>1.07824358401798</v>
      </c>
      <c r="Q289" s="1" t="s">
        <v>1001</v>
      </c>
      <c r="V289">
        <v>25</v>
      </c>
      <c r="W289">
        <f>S292/5</f>
        <v>2.8161743712289664</v>
      </c>
      <c r="X289">
        <f>_xlfn.STDEV.S(P292:P296)</f>
        <v>7.1900069320931279E-2</v>
      </c>
    </row>
    <row r="290" spans="1:24" x14ac:dyDescent="0.2">
      <c r="A290">
        <v>3</v>
      </c>
      <c r="B290">
        <v>1.5</v>
      </c>
      <c r="C290">
        <v>59</v>
      </c>
      <c r="D290" t="s">
        <v>216</v>
      </c>
      <c r="E290" t="s">
        <v>18</v>
      </c>
      <c r="F290">
        <v>0.995</v>
      </c>
      <c r="G290">
        <v>10</v>
      </c>
      <c r="H290">
        <v>10</v>
      </c>
      <c r="I290">
        <v>10</v>
      </c>
      <c r="J290">
        <v>116.1</v>
      </c>
      <c r="K290">
        <v>1.798</v>
      </c>
      <c r="L290" s="1" t="s">
        <v>1002</v>
      </c>
      <c r="M290" s="1" t="s">
        <v>1003</v>
      </c>
      <c r="N290" t="b">
        <v>0</v>
      </c>
      <c r="O290" s="1" t="s">
        <v>838</v>
      </c>
      <c r="P290" s="1">
        <v>1.0661987055670501</v>
      </c>
      <c r="Q290" s="1" t="s">
        <v>1004</v>
      </c>
      <c r="V290">
        <v>50</v>
      </c>
      <c r="W290">
        <f>S297/5</f>
        <v>6.4893261110265827</v>
      </c>
      <c r="X290">
        <f>_xlfn.STDEV.S(P297:P301)</f>
        <v>0.46155170427128095</v>
      </c>
    </row>
    <row r="291" spans="1:24" x14ac:dyDescent="0.2">
      <c r="A291">
        <v>3</v>
      </c>
      <c r="B291">
        <v>1.5</v>
      </c>
      <c r="C291">
        <v>60</v>
      </c>
      <c r="D291" t="s">
        <v>220</v>
      </c>
      <c r="E291" t="s">
        <v>18</v>
      </c>
      <c r="F291">
        <v>0.995</v>
      </c>
      <c r="G291">
        <v>10</v>
      </c>
      <c r="H291">
        <v>10</v>
      </c>
      <c r="I291">
        <v>10</v>
      </c>
      <c r="J291">
        <v>114.1</v>
      </c>
      <c r="K291">
        <v>1.9710000000000001</v>
      </c>
      <c r="L291" s="1" t="s">
        <v>1005</v>
      </c>
      <c r="M291" s="1" t="s">
        <v>1006</v>
      </c>
      <c r="N291" t="b">
        <v>0</v>
      </c>
      <c r="O291" s="1" t="s">
        <v>838</v>
      </c>
      <c r="P291" s="1">
        <v>1.24884429989669</v>
      </c>
      <c r="Q291" s="1" t="s">
        <v>1007</v>
      </c>
      <c r="V291">
        <v>100</v>
      </c>
      <c r="W291">
        <f>S302/5</f>
        <v>12.33830535174866</v>
      </c>
      <c r="X291">
        <f>_xlfn.STDEV.S(P302:P306)</f>
        <v>0.29775346908376382</v>
      </c>
    </row>
    <row r="292" spans="1:24" x14ac:dyDescent="0.2">
      <c r="A292">
        <v>3</v>
      </c>
      <c r="B292">
        <v>1.5</v>
      </c>
      <c r="C292">
        <v>61</v>
      </c>
      <c r="D292" t="s">
        <v>223</v>
      </c>
      <c r="E292" t="s">
        <v>18</v>
      </c>
      <c r="F292">
        <v>0.995</v>
      </c>
      <c r="G292">
        <v>10</v>
      </c>
      <c r="H292">
        <v>25</v>
      </c>
      <c r="I292">
        <v>25</v>
      </c>
      <c r="J292">
        <v>115.2</v>
      </c>
      <c r="K292">
        <v>3.617</v>
      </c>
      <c r="L292" s="1" t="s">
        <v>1008</v>
      </c>
      <c r="M292" s="1" t="s">
        <v>1009</v>
      </c>
      <c r="N292" t="b">
        <v>0</v>
      </c>
      <c r="O292" s="1" t="s">
        <v>838</v>
      </c>
      <c r="P292" s="1">
        <v>2.7816346303891901</v>
      </c>
      <c r="Q292" s="1" t="s">
        <v>1010</v>
      </c>
      <c r="S292">
        <f>P292+P293+P294+P295+P296</f>
        <v>14.080871856144832</v>
      </c>
      <c r="V292">
        <v>250</v>
      </c>
      <c r="W292">
        <f>S307/5</f>
        <v>32.865665796952399</v>
      </c>
      <c r="X292">
        <f>_xlfn.STDEV.S(P307:P311)</f>
        <v>1.6407306876887313</v>
      </c>
    </row>
    <row r="293" spans="1:24" x14ac:dyDescent="0.2">
      <c r="A293">
        <v>3</v>
      </c>
      <c r="B293">
        <v>1.5</v>
      </c>
      <c r="C293">
        <v>62</v>
      </c>
      <c r="D293" t="s">
        <v>226</v>
      </c>
      <c r="E293" t="s">
        <v>18</v>
      </c>
      <c r="F293">
        <v>0.995</v>
      </c>
      <c r="G293">
        <v>10</v>
      </c>
      <c r="H293">
        <v>25</v>
      </c>
      <c r="I293">
        <v>25</v>
      </c>
      <c r="J293">
        <v>106.5</v>
      </c>
      <c r="K293">
        <v>3.4060000000000001</v>
      </c>
      <c r="L293" s="1" t="s">
        <v>1011</v>
      </c>
      <c r="M293" s="1" t="s">
        <v>1012</v>
      </c>
      <c r="N293" t="b">
        <v>0</v>
      </c>
      <c r="O293" s="1" t="s">
        <v>838</v>
      </c>
      <c r="P293" s="1">
        <v>2.7950598431684499</v>
      </c>
      <c r="Q293" s="1" t="s">
        <v>1013</v>
      </c>
      <c r="V293">
        <v>500</v>
      </c>
      <c r="W293">
        <f>S312/5</f>
        <v>62.627072309005236</v>
      </c>
      <c r="X293">
        <f>_xlfn.STDEV.S(P312:P316)</f>
        <v>1.4827362475469008</v>
      </c>
    </row>
    <row r="294" spans="1:24" x14ac:dyDescent="0.2">
      <c r="A294">
        <v>3</v>
      </c>
      <c r="B294">
        <v>1.5</v>
      </c>
      <c r="C294">
        <v>63</v>
      </c>
      <c r="D294" t="s">
        <v>1014</v>
      </c>
      <c r="E294" t="s">
        <v>18</v>
      </c>
      <c r="F294">
        <v>0.995</v>
      </c>
      <c r="G294">
        <v>10</v>
      </c>
      <c r="H294">
        <v>25</v>
      </c>
      <c r="I294">
        <v>25</v>
      </c>
      <c r="J294">
        <v>109</v>
      </c>
      <c r="K294">
        <v>3.4550000000000001</v>
      </c>
      <c r="L294" s="1" t="s">
        <v>1015</v>
      </c>
      <c r="M294" s="1" t="s">
        <v>1016</v>
      </c>
      <c r="N294" t="b">
        <v>0</v>
      </c>
      <c r="O294" s="1" t="s">
        <v>838</v>
      </c>
      <c r="P294" s="1">
        <v>2.7794435834690501</v>
      </c>
      <c r="Q294" s="1" t="s">
        <v>1017</v>
      </c>
      <c r="V294">
        <v>1000</v>
      </c>
      <c r="W294">
        <f>S317/5</f>
        <v>123.97617853708839</v>
      </c>
      <c r="X294">
        <f>_xlfn.STDEV.S(P317:P321)</f>
        <v>2.3749224539914544</v>
      </c>
    </row>
    <row r="295" spans="1:24" x14ac:dyDescent="0.2">
      <c r="A295">
        <v>3</v>
      </c>
      <c r="B295">
        <v>1.5</v>
      </c>
      <c r="C295">
        <v>64</v>
      </c>
      <c r="D295" t="s">
        <v>230</v>
      </c>
      <c r="E295" t="s">
        <v>18</v>
      </c>
      <c r="F295">
        <v>0.995</v>
      </c>
      <c r="G295">
        <v>10</v>
      </c>
      <c r="H295">
        <v>25</v>
      </c>
      <c r="I295">
        <v>25</v>
      </c>
      <c r="J295">
        <v>92.58</v>
      </c>
      <c r="K295">
        <v>3.0329999999999999</v>
      </c>
      <c r="L295" s="1" t="s">
        <v>1018</v>
      </c>
      <c r="M295" s="1" t="s">
        <v>1019</v>
      </c>
      <c r="N295" t="b">
        <v>0</v>
      </c>
      <c r="O295" s="1" t="s">
        <v>838</v>
      </c>
      <c r="P295" s="1">
        <v>2.7804431155754101</v>
      </c>
      <c r="Q295">
        <v>8.4754612759198302</v>
      </c>
      <c r="V295">
        <v>2000</v>
      </c>
      <c r="W295">
        <f>S322/5</f>
        <v>264.0997769593472</v>
      </c>
      <c r="X295">
        <f>_xlfn.STDEV.S(P322:P326)</f>
        <v>12.055070590040987</v>
      </c>
    </row>
    <row r="296" spans="1:24" x14ac:dyDescent="0.2">
      <c r="A296">
        <v>3</v>
      </c>
      <c r="B296">
        <v>1.5</v>
      </c>
      <c r="C296">
        <v>65</v>
      </c>
      <c r="D296" t="s">
        <v>234</v>
      </c>
      <c r="E296" t="s">
        <v>18</v>
      </c>
      <c r="F296">
        <v>0.995</v>
      </c>
      <c r="G296">
        <v>10</v>
      </c>
      <c r="H296">
        <v>25</v>
      </c>
      <c r="I296">
        <v>25</v>
      </c>
      <c r="J296">
        <v>108.7</v>
      </c>
      <c r="K296">
        <v>3.613</v>
      </c>
      <c r="L296" s="1" t="s">
        <v>961</v>
      </c>
      <c r="M296" s="1" t="s">
        <v>1020</v>
      </c>
      <c r="N296" t="b">
        <v>0</v>
      </c>
      <c r="O296" s="1" t="s">
        <v>838</v>
      </c>
      <c r="P296" s="1">
        <v>2.94429068354273</v>
      </c>
      <c r="Q296" s="1" t="s">
        <v>1021</v>
      </c>
      <c r="V296">
        <v>3000</v>
      </c>
      <c r="W296">
        <f>S327/5</f>
        <v>384.20218098979001</v>
      </c>
      <c r="X296">
        <f>_xlfn.STDEV.S(P327:P331)</f>
        <v>16.683329280055602</v>
      </c>
    </row>
    <row r="297" spans="1:24" x14ac:dyDescent="0.2">
      <c r="A297">
        <v>3</v>
      </c>
      <c r="B297">
        <v>1.5</v>
      </c>
      <c r="C297">
        <v>66</v>
      </c>
      <c r="D297" t="s">
        <v>238</v>
      </c>
      <c r="E297" t="s">
        <v>18</v>
      </c>
      <c r="F297">
        <v>0.995</v>
      </c>
      <c r="G297">
        <v>10</v>
      </c>
      <c r="H297">
        <v>50</v>
      </c>
      <c r="I297">
        <v>50</v>
      </c>
      <c r="J297">
        <v>96.48</v>
      </c>
      <c r="K297">
        <v>6.806</v>
      </c>
      <c r="L297" s="1" t="s">
        <v>1022</v>
      </c>
      <c r="M297" s="1" t="s">
        <v>1023</v>
      </c>
      <c r="N297" t="b">
        <v>0</v>
      </c>
      <c r="O297" s="1" t="s">
        <v>838</v>
      </c>
      <c r="P297" s="1">
        <v>6.8971314784188698</v>
      </c>
      <c r="Q297" s="1" t="s">
        <v>1024</v>
      </c>
      <c r="S297">
        <f>P297+P298+P299+P300+P301</f>
        <v>32.446630555132913</v>
      </c>
      <c r="V297">
        <v>5000</v>
      </c>
      <c r="W297">
        <f>S332/5</f>
        <v>651.27466422579494</v>
      </c>
      <c r="X297">
        <f>_xlfn.STDEV.S(P332:P336)</f>
        <v>30.526834195549338</v>
      </c>
    </row>
    <row r="298" spans="1:24" x14ac:dyDescent="0.2">
      <c r="A298">
        <v>3</v>
      </c>
      <c r="B298">
        <v>1.5</v>
      </c>
      <c r="C298">
        <v>67</v>
      </c>
      <c r="D298" t="s">
        <v>242</v>
      </c>
      <c r="E298" t="s">
        <v>18</v>
      </c>
      <c r="F298">
        <v>0.995</v>
      </c>
      <c r="G298">
        <v>10</v>
      </c>
      <c r="H298">
        <v>50</v>
      </c>
      <c r="I298">
        <v>50</v>
      </c>
      <c r="J298">
        <v>106.8</v>
      </c>
      <c r="K298">
        <v>7.64</v>
      </c>
      <c r="L298">
        <v>1.01242662127353</v>
      </c>
      <c r="M298" s="1" t="s">
        <v>1025</v>
      </c>
      <c r="N298" t="b">
        <v>0</v>
      </c>
      <c r="O298" s="1" t="s">
        <v>838</v>
      </c>
      <c r="P298" s="1">
        <v>7.0738084651497299</v>
      </c>
      <c r="Q298">
        <v>54.315474043963803</v>
      </c>
    </row>
    <row r="299" spans="1:24" x14ac:dyDescent="0.2">
      <c r="A299">
        <v>3</v>
      </c>
      <c r="B299">
        <v>1.5</v>
      </c>
      <c r="C299">
        <v>68</v>
      </c>
      <c r="D299" t="s">
        <v>246</v>
      </c>
      <c r="E299" t="s">
        <v>18</v>
      </c>
      <c r="F299">
        <v>0.995</v>
      </c>
      <c r="G299">
        <v>10</v>
      </c>
      <c r="H299">
        <v>50</v>
      </c>
      <c r="I299">
        <v>50</v>
      </c>
      <c r="J299">
        <v>109.6</v>
      </c>
      <c r="K299">
        <v>6.7949999999999999</v>
      </c>
      <c r="L299" s="1" t="s">
        <v>840</v>
      </c>
      <c r="M299" s="1" t="s">
        <v>1026</v>
      </c>
      <c r="N299" t="b">
        <v>0</v>
      </c>
      <c r="O299" s="1" t="s">
        <v>838</v>
      </c>
      <c r="P299" s="1">
        <v>6.0591621615336804</v>
      </c>
      <c r="Q299" s="1" t="s">
        <v>1027</v>
      </c>
    </row>
    <row r="300" spans="1:24" x14ac:dyDescent="0.2">
      <c r="A300">
        <v>3</v>
      </c>
      <c r="B300">
        <v>1.5</v>
      </c>
      <c r="C300">
        <v>69</v>
      </c>
      <c r="D300" t="s">
        <v>250</v>
      </c>
      <c r="E300" t="s">
        <v>18</v>
      </c>
      <c r="F300">
        <v>0.995</v>
      </c>
      <c r="G300">
        <v>10</v>
      </c>
      <c r="H300">
        <v>50</v>
      </c>
      <c r="I300">
        <v>50</v>
      </c>
      <c r="J300">
        <v>110.3</v>
      </c>
      <c r="K300">
        <v>7.0110000000000001</v>
      </c>
      <c r="L300" s="1" t="s">
        <v>893</v>
      </c>
      <c r="M300" s="1" t="s">
        <v>1028</v>
      </c>
      <c r="N300" t="b">
        <v>0</v>
      </c>
      <c r="O300" s="1" t="s">
        <v>838</v>
      </c>
      <c r="P300" s="1">
        <v>6.2323730608213799</v>
      </c>
      <c r="Q300" s="1" t="s">
        <v>1029</v>
      </c>
    </row>
    <row r="301" spans="1:24" x14ac:dyDescent="0.2">
      <c r="A301">
        <v>3</v>
      </c>
      <c r="B301">
        <v>1.5</v>
      </c>
      <c r="C301">
        <v>70</v>
      </c>
      <c r="D301" t="s">
        <v>253</v>
      </c>
      <c r="E301" t="s">
        <v>18</v>
      </c>
      <c r="F301">
        <v>0.995</v>
      </c>
      <c r="G301">
        <v>10</v>
      </c>
      <c r="H301">
        <v>50</v>
      </c>
      <c r="I301">
        <v>50</v>
      </c>
      <c r="J301">
        <v>110.6</v>
      </c>
      <c r="K301">
        <v>6.9790000000000001</v>
      </c>
      <c r="L301" s="1" t="s">
        <v>972</v>
      </c>
      <c r="M301" s="1" t="s">
        <v>1030</v>
      </c>
      <c r="N301" t="b">
        <v>0</v>
      </c>
      <c r="O301" s="1" t="s">
        <v>838</v>
      </c>
      <c r="P301" s="1">
        <v>6.1841553892092502</v>
      </c>
      <c r="Q301" s="1" t="s">
        <v>1031</v>
      </c>
    </row>
    <row r="302" spans="1:24" x14ac:dyDescent="0.2">
      <c r="A302">
        <v>3</v>
      </c>
      <c r="B302">
        <v>1.5</v>
      </c>
      <c r="C302">
        <v>71</v>
      </c>
      <c r="D302" t="s">
        <v>257</v>
      </c>
      <c r="E302" t="s">
        <v>18</v>
      </c>
      <c r="F302">
        <v>0.995</v>
      </c>
      <c r="G302">
        <v>10</v>
      </c>
      <c r="H302">
        <v>100</v>
      </c>
      <c r="I302">
        <v>100</v>
      </c>
      <c r="J302">
        <v>111.7</v>
      </c>
      <c r="K302">
        <v>12.97</v>
      </c>
      <c r="L302" s="1" t="s">
        <v>890</v>
      </c>
      <c r="M302" s="1" t="s">
        <v>1032</v>
      </c>
      <c r="N302" t="b">
        <v>0</v>
      </c>
      <c r="O302" s="1" t="s">
        <v>838</v>
      </c>
      <c r="P302" s="1">
        <v>11.9220534788391</v>
      </c>
      <c r="Q302" s="1" t="s">
        <v>1033</v>
      </c>
      <c r="S302">
        <f>P302+P303+P304+P305+P306</f>
        <v>61.691526758743301</v>
      </c>
    </row>
    <row r="303" spans="1:24" x14ac:dyDescent="0.2">
      <c r="A303">
        <v>3</v>
      </c>
      <c r="B303">
        <v>1.5</v>
      </c>
      <c r="C303">
        <v>72</v>
      </c>
      <c r="D303" t="s">
        <v>259</v>
      </c>
      <c r="E303" t="s">
        <v>18</v>
      </c>
      <c r="F303">
        <v>0.995</v>
      </c>
      <c r="G303">
        <v>10</v>
      </c>
      <c r="H303">
        <v>100</v>
      </c>
      <c r="I303">
        <v>100</v>
      </c>
      <c r="J303">
        <v>107.7</v>
      </c>
      <c r="K303">
        <v>12.77</v>
      </c>
      <c r="L303" s="1" t="s">
        <v>964</v>
      </c>
      <c r="M303" s="1" t="s">
        <v>1034</v>
      </c>
      <c r="N303" t="b">
        <v>0</v>
      </c>
      <c r="O303" s="1" t="s">
        <v>838</v>
      </c>
      <c r="P303" s="1">
        <v>12.1648561709011</v>
      </c>
      <c r="Q303" s="1" t="s">
        <v>1035</v>
      </c>
    </row>
    <row r="304" spans="1:24" x14ac:dyDescent="0.2">
      <c r="A304">
        <v>3</v>
      </c>
      <c r="B304">
        <v>1.5</v>
      </c>
      <c r="C304">
        <v>73</v>
      </c>
      <c r="D304" t="s">
        <v>263</v>
      </c>
      <c r="E304" t="s">
        <v>18</v>
      </c>
      <c r="F304">
        <v>0.995</v>
      </c>
      <c r="G304">
        <v>10</v>
      </c>
      <c r="H304">
        <v>100</v>
      </c>
      <c r="I304">
        <v>100</v>
      </c>
      <c r="J304">
        <v>110.5</v>
      </c>
      <c r="K304">
        <v>13.62</v>
      </c>
      <c r="L304" s="1" t="s">
        <v>1036</v>
      </c>
      <c r="M304" s="1" t="s">
        <v>1037</v>
      </c>
      <c r="N304" t="b">
        <v>0</v>
      </c>
      <c r="O304" s="1" t="s">
        <v>838</v>
      </c>
      <c r="P304" s="1">
        <v>12.687756325940001</v>
      </c>
      <c r="Q304" s="1" t="s">
        <v>1038</v>
      </c>
    </row>
    <row r="305" spans="1:19" x14ac:dyDescent="0.2">
      <c r="A305">
        <v>3</v>
      </c>
      <c r="B305">
        <v>1.5</v>
      </c>
      <c r="C305">
        <v>74</v>
      </c>
      <c r="D305" t="s">
        <v>266</v>
      </c>
      <c r="E305" t="s">
        <v>18</v>
      </c>
      <c r="F305">
        <v>0.995</v>
      </c>
      <c r="G305">
        <v>10</v>
      </c>
      <c r="H305">
        <v>100</v>
      </c>
      <c r="I305">
        <v>100</v>
      </c>
      <c r="J305">
        <v>107.4</v>
      </c>
      <c r="K305">
        <v>13.04</v>
      </c>
      <c r="L305" s="1" t="s">
        <v>948</v>
      </c>
      <c r="M305" s="1" t="s">
        <v>1039</v>
      </c>
      <c r="N305" t="b">
        <v>0</v>
      </c>
      <c r="O305" s="1" t="s">
        <v>838</v>
      </c>
      <c r="P305" s="1">
        <v>12.4707234716846</v>
      </c>
      <c r="Q305" s="1" t="s">
        <v>1040</v>
      </c>
    </row>
    <row r="306" spans="1:19" x14ac:dyDescent="0.2">
      <c r="A306">
        <v>3</v>
      </c>
      <c r="B306">
        <v>1.5</v>
      </c>
      <c r="C306">
        <v>75</v>
      </c>
      <c r="D306" t="s">
        <v>270</v>
      </c>
      <c r="E306" t="s">
        <v>18</v>
      </c>
      <c r="F306">
        <v>0.995</v>
      </c>
      <c r="G306">
        <v>10</v>
      </c>
      <c r="H306">
        <v>100</v>
      </c>
      <c r="I306">
        <v>100</v>
      </c>
      <c r="J306">
        <v>110.3</v>
      </c>
      <c r="K306">
        <v>13.35</v>
      </c>
      <c r="L306" s="1" t="s">
        <v>893</v>
      </c>
      <c r="M306" s="1" t="s">
        <v>1041</v>
      </c>
      <c r="N306" t="b">
        <v>0</v>
      </c>
      <c r="O306" s="1" t="s">
        <v>838</v>
      </c>
      <c r="P306" s="1">
        <v>12.4461373113785</v>
      </c>
      <c r="Q306" s="1" t="s">
        <v>1042</v>
      </c>
    </row>
    <row r="307" spans="1:19" x14ac:dyDescent="0.2">
      <c r="A307">
        <v>3</v>
      </c>
      <c r="B307">
        <v>1.5</v>
      </c>
      <c r="C307">
        <v>76</v>
      </c>
      <c r="D307" t="s">
        <v>274</v>
      </c>
      <c r="E307" t="s">
        <v>18</v>
      </c>
      <c r="F307">
        <v>0.995</v>
      </c>
      <c r="G307">
        <v>10</v>
      </c>
      <c r="H307">
        <v>250</v>
      </c>
      <c r="I307">
        <v>250</v>
      </c>
      <c r="J307">
        <v>107</v>
      </c>
      <c r="K307">
        <v>35.69</v>
      </c>
      <c r="L307" s="1" t="s">
        <v>991</v>
      </c>
      <c r="M307">
        <v>36.065843201314301</v>
      </c>
      <c r="N307" t="b">
        <v>0</v>
      </c>
      <c r="O307" s="1" t="s">
        <v>838</v>
      </c>
      <c r="P307" s="1">
        <v>35.405950301043298</v>
      </c>
      <c r="Q307" s="1" t="s">
        <v>1043</v>
      </c>
      <c r="S307">
        <f>P307+P308+P309+P310+P311</f>
        <v>164.32832898476201</v>
      </c>
    </row>
    <row r="308" spans="1:19" x14ac:dyDescent="0.2">
      <c r="A308">
        <v>3</v>
      </c>
      <c r="B308">
        <v>1.5</v>
      </c>
      <c r="C308">
        <v>77</v>
      </c>
      <c r="D308" t="s">
        <v>277</v>
      </c>
      <c r="E308" t="s">
        <v>18</v>
      </c>
      <c r="F308">
        <v>0.995</v>
      </c>
      <c r="G308">
        <v>10</v>
      </c>
      <c r="H308">
        <v>250</v>
      </c>
      <c r="I308">
        <v>250</v>
      </c>
      <c r="J308">
        <v>104.9</v>
      </c>
      <c r="K308">
        <v>32.619999999999997</v>
      </c>
      <c r="L308" s="1" t="s">
        <v>967</v>
      </c>
      <c r="M308" s="1" t="s">
        <v>1044</v>
      </c>
      <c r="N308" t="b">
        <v>0</v>
      </c>
      <c r="O308" s="1" t="s">
        <v>838</v>
      </c>
      <c r="P308" s="1">
        <v>32.951516822231397</v>
      </c>
      <c r="Q308" s="1" t="s">
        <v>1045</v>
      </c>
    </row>
    <row r="309" spans="1:19" x14ac:dyDescent="0.2">
      <c r="A309">
        <v>3</v>
      </c>
      <c r="B309">
        <v>1.5</v>
      </c>
      <c r="C309">
        <v>78</v>
      </c>
      <c r="D309" t="s">
        <v>281</v>
      </c>
      <c r="E309" t="s">
        <v>18</v>
      </c>
      <c r="F309">
        <v>0.995</v>
      </c>
      <c r="G309">
        <v>10</v>
      </c>
      <c r="H309">
        <v>250</v>
      </c>
      <c r="I309">
        <v>250</v>
      </c>
      <c r="J309">
        <v>105.7</v>
      </c>
      <c r="K309">
        <v>31.7</v>
      </c>
      <c r="L309" s="1" t="s">
        <v>1046</v>
      </c>
      <c r="M309" s="1" t="s">
        <v>1047</v>
      </c>
      <c r="N309" t="b">
        <v>0</v>
      </c>
      <c r="O309" s="1" t="s">
        <v>838</v>
      </c>
      <c r="P309" s="1">
        <v>31.760514380080899</v>
      </c>
      <c r="Q309" s="1" t="s">
        <v>1048</v>
      </c>
    </row>
    <row r="310" spans="1:19" x14ac:dyDescent="0.2">
      <c r="A310">
        <v>3</v>
      </c>
      <c r="B310">
        <v>1.5</v>
      </c>
      <c r="C310">
        <v>79</v>
      </c>
      <c r="D310" t="s">
        <v>285</v>
      </c>
      <c r="E310" t="s">
        <v>18</v>
      </c>
      <c r="F310">
        <v>0.995</v>
      </c>
      <c r="G310">
        <v>10</v>
      </c>
      <c r="H310">
        <v>250</v>
      </c>
      <c r="I310">
        <v>250</v>
      </c>
      <c r="J310">
        <v>103.1</v>
      </c>
      <c r="K310">
        <v>32.200000000000003</v>
      </c>
      <c r="L310" s="1" t="s">
        <v>1049</v>
      </c>
      <c r="M310" s="1" t="s">
        <v>1050</v>
      </c>
      <c r="N310" t="b">
        <v>0</v>
      </c>
      <c r="O310" s="1" t="s">
        <v>838</v>
      </c>
      <c r="P310" s="1">
        <v>33.087394950100297</v>
      </c>
      <c r="Q310" s="1" t="s">
        <v>1051</v>
      </c>
    </row>
    <row r="311" spans="1:19" x14ac:dyDescent="0.2">
      <c r="A311">
        <v>3</v>
      </c>
      <c r="B311">
        <v>1.5</v>
      </c>
      <c r="C311">
        <v>80</v>
      </c>
      <c r="D311" t="s">
        <v>288</v>
      </c>
      <c r="E311" t="s">
        <v>18</v>
      </c>
      <c r="F311">
        <v>0.995</v>
      </c>
      <c r="G311">
        <v>10</v>
      </c>
      <c r="H311">
        <v>250</v>
      </c>
      <c r="I311">
        <v>250</v>
      </c>
      <c r="J311">
        <v>108</v>
      </c>
      <c r="K311">
        <v>31.74</v>
      </c>
      <c r="L311" s="1" t="s">
        <v>1052</v>
      </c>
      <c r="M311" s="1" t="s">
        <v>1053</v>
      </c>
      <c r="N311" t="b">
        <v>0</v>
      </c>
      <c r="O311" s="1" t="s">
        <v>838</v>
      </c>
      <c r="P311" s="1">
        <v>31.122952531306101</v>
      </c>
      <c r="Q311" s="1" t="s">
        <v>1054</v>
      </c>
    </row>
    <row r="312" spans="1:19" x14ac:dyDescent="0.2">
      <c r="A312">
        <v>3</v>
      </c>
      <c r="B312">
        <v>1.5</v>
      </c>
      <c r="C312">
        <v>81</v>
      </c>
      <c r="D312" t="s">
        <v>292</v>
      </c>
      <c r="E312" t="s">
        <v>18</v>
      </c>
      <c r="F312">
        <v>0.995</v>
      </c>
      <c r="G312">
        <v>10</v>
      </c>
      <c r="H312">
        <v>500</v>
      </c>
      <c r="I312">
        <v>500</v>
      </c>
      <c r="J312">
        <v>106.4</v>
      </c>
      <c r="K312">
        <v>62.63</v>
      </c>
      <c r="L312" s="1" t="s">
        <v>1055</v>
      </c>
      <c r="M312" s="1" t="s">
        <v>1056</v>
      </c>
      <c r="N312" t="b">
        <v>0</v>
      </c>
      <c r="O312" s="1" t="s">
        <v>838</v>
      </c>
      <c r="P312" s="1">
        <v>62.9834742047519</v>
      </c>
      <c r="Q312" s="1" t="s">
        <v>1057</v>
      </c>
      <c r="S312">
        <f>P312+P313+P314+P315+P316</f>
        <v>313.13536154502617</v>
      </c>
    </row>
    <row r="313" spans="1:19" x14ac:dyDescent="0.2">
      <c r="A313">
        <v>3</v>
      </c>
      <c r="B313">
        <v>1.5</v>
      </c>
      <c r="C313">
        <v>82</v>
      </c>
      <c r="D313" t="s">
        <v>296</v>
      </c>
      <c r="E313" t="s">
        <v>18</v>
      </c>
      <c r="F313">
        <v>0.995</v>
      </c>
      <c r="G313">
        <v>10</v>
      </c>
      <c r="H313">
        <v>500</v>
      </c>
      <c r="I313">
        <v>500</v>
      </c>
      <c r="J313">
        <v>114.5</v>
      </c>
      <c r="K313">
        <v>65.650000000000006</v>
      </c>
      <c r="L313" s="1" t="s">
        <v>855</v>
      </c>
      <c r="M313">
        <v>61.988408560295397</v>
      </c>
      <c r="N313" t="b">
        <v>0</v>
      </c>
      <c r="O313" s="1" t="s">
        <v>838</v>
      </c>
      <c r="P313" s="1">
        <v>61.371814027064303</v>
      </c>
      <c r="Q313" s="1" t="s">
        <v>1058</v>
      </c>
    </row>
    <row r="314" spans="1:19" x14ac:dyDescent="0.2">
      <c r="A314">
        <v>3</v>
      </c>
      <c r="B314">
        <v>1.5</v>
      </c>
      <c r="C314">
        <v>83</v>
      </c>
      <c r="D314" t="s">
        <v>300</v>
      </c>
      <c r="E314" t="s">
        <v>18</v>
      </c>
      <c r="F314">
        <v>0.995</v>
      </c>
      <c r="G314">
        <v>10</v>
      </c>
      <c r="H314">
        <v>500</v>
      </c>
      <c r="I314">
        <v>500</v>
      </c>
      <c r="J314">
        <v>103.7</v>
      </c>
      <c r="K314">
        <v>62.94</v>
      </c>
      <c r="L314" s="1" t="s">
        <v>1059</v>
      </c>
      <c r="M314" s="1" t="s">
        <v>1060</v>
      </c>
      <c r="N314" t="b">
        <v>0</v>
      </c>
      <c r="O314" s="1" t="s">
        <v>838</v>
      </c>
      <c r="P314" s="1">
        <v>64.949702705868106</v>
      </c>
      <c r="Q314" s="1" t="s">
        <v>1061</v>
      </c>
    </row>
    <row r="315" spans="1:19" x14ac:dyDescent="0.2">
      <c r="A315">
        <v>3</v>
      </c>
      <c r="B315">
        <v>1.5</v>
      </c>
      <c r="C315">
        <v>84</v>
      </c>
      <c r="D315" t="s">
        <v>304</v>
      </c>
      <c r="E315" t="s">
        <v>18</v>
      </c>
      <c r="F315">
        <v>0.995</v>
      </c>
      <c r="G315">
        <v>10</v>
      </c>
      <c r="H315">
        <v>500</v>
      </c>
      <c r="I315">
        <v>500</v>
      </c>
      <c r="J315">
        <v>112.8</v>
      </c>
      <c r="K315">
        <v>65.86</v>
      </c>
      <c r="L315" s="1" t="s">
        <v>909</v>
      </c>
      <c r="M315" s="1" t="s">
        <v>1062</v>
      </c>
      <c r="N315" t="b">
        <v>0</v>
      </c>
      <c r="O315" s="1" t="s">
        <v>838</v>
      </c>
      <c r="P315" s="1">
        <v>62.499630885537101</v>
      </c>
      <c r="Q315" s="1" t="s">
        <v>1063</v>
      </c>
    </row>
    <row r="316" spans="1:19" x14ac:dyDescent="0.2">
      <c r="A316">
        <v>3</v>
      </c>
      <c r="B316">
        <v>1.5</v>
      </c>
      <c r="C316">
        <v>85</v>
      </c>
      <c r="D316" t="s">
        <v>1064</v>
      </c>
      <c r="E316" t="s">
        <v>18</v>
      </c>
      <c r="F316">
        <v>0.995</v>
      </c>
      <c r="G316">
        <v>10</v>
      </c>
      <c r="H316">
        <v>500</v>
      </c>
      <c r="I316">
        <v>500</v>
      </c>
      <c r="J316">
        <v>112.5</v>
      </c>
      <c r="K316">
        <v>64.47</v>
      </c>
      <c r="L316" s="1" t="s">
        <v>878</v>
      </c>
      <c r="M316" s="1" t="s">
        <v>1065</v>
      </c>
      <c r="N316" t="b">
        <v>0</v>
      </c>
      <c r="O316" s="1" t="s">
        <v>838</v>
      </c>
      <c r="P316" s="1">
        <v>61.330739721804797</v>
      </c>
      <c r="Q316" s="1" t="s">
        <v>1066</v>
      </c>
    </row>
    <row r="317" spans="1:19" x14ac:dyDescent="0.2">
      <c r="A317">
        <v>3</v>
      </c>
      <c r="B317">
        <v>1.5</v>
      </c>
      <c r="C317">
        <v>86</v>
      </c>
      <c r="D317" t="s">
        <v>308</v>
      </c>
      <c r="E317" t="s">
        <v>18</v>
      </c>
      <c r="F317">
        <v>0.995</v>
      </c>
      <c r="G317">
        <v>10</v>
      </c>
      <c r="H317">
        <v>1000</v>
      </c>
      <c r="I317">
        <v>1000</v>
      </c>
      <c r="J317">
        <v>111.9</v>
      </c>
      <c r="K317">
        <v>125.9</v>
      </c>
      <c r="L317" s="1" t="s">
        <v>1067</v>
      </c>
      <c r="M317" s="1" t="s">
        <v>1068</v>
      </c>
      <c r="N317" t="b">
        <v>0</v>
      </c>
      <c r="O317" s="1" t="s">
        <v>838</v>
      </c>
      <c r="P317" s="1">
        <v>121.01402185704301</v>
      </c>
      <c r="Q317" s="1" t="s">
        <v>1069</v>
      </c>
      <c r="S317">
        <f>M317+M318+M319+M320+M321</f>
        <v>619.88089268544195</v>
      </c>
    </row>
    <row r="318" spans="1:19" x14ac:dyDescent="0.2">
      <c r="A318">
        <v>3</v>
      </c>
      <c r="B318">
        <v>1.5</v>
      </c>
      <c r="C318">
        <v>87</v>
      </c>
      <c r="D318" t="s">
        <v>312</v>
      </c>
      <c r="E318" t="s">
        <v>18</v>
      </c>
      <c r="F318">
        <v>0.995</v>
      </c>
      <c r="G318">
        <v>10</v>
      </c>
      <c r="H318">
        <v>1000</v>
      </c>
      <c r="I318">
        <v>1000</v>
      </c>
      <c r="J318">
        <v>105.5</v>
      </c>
      <c r="K318">
        <v>120.8</v>
      </c>
      <c r="L318" s="1" t="s">
        <v>953</v>
      </c>
      <c r="M318" s="1" t="s">
        <v>1070</v>
      </c>
      <c r="N318" t="b">
        <v>0</v>
      </c>
      <c r="O318" s="1" t="s">
        <v>838</v>
      </c>
      <c r="P318" s="1">
        <v>123.141669686022</v>
      </c>
      <c r="Q318" s="1" t="s">
        <v>1071</v>
      </c>
    </row>
    <row r="319" spans="1:19" x14ac:dyDescent="0.2">
      <c r="A319">
        <v>3</v>
      </c>
      <c r="B319">
        <v>1.5</v>
      </c>
      <c r="C319">
        <v>88</v>
      </c>
      <c r="D319" t="s">
        <v>315</v>
      </c>
      <c r="E319" t="s">
        <v>18</v>
      </c>
      <c r="F319">
        <v>0.995</v>
      </c>
      <c r="G319">
        <v>10</v>
      </c>
      <c r="H319">
        <v>1000</v>
      </c>
      <c r="I319">
        <v>1000</v>
      </c>
      <c r="J319">
        <v>107.2</v>
      </c>
      <c r="K319">
        <v>124.7</v>
      </c>
      <c r="L319" s="1" t="s">
        <v>849</v>
      </c>
      <c r="M319" s="1" t="s">
        <v>1072</v>
      </c>
      <c r="N319" t="b">
        <v>0</v>
      </c>
      <c r="O319" s="1" t="s">
        <v>838</v>
      </c>
      <c r="P319" s="1">
        <v>125.11899874643299</v>
      </c>
      <c r="Q319" s="1" t="s">
        <v>1073</v>
      </c>
    </row>
    <row r="320" spans="1:19" x14ac:dyDescent="0.2">
      <c r="A320">
        <v>3</v>
      </c>
      <c r="B320">
        <v>1.5</v>
      </c>
      <c r="C320">
        <v>89</v>
      </c>
      <c r="D320" t="s">
        <v>318</v>
      </c>
      <c r="E320" t="s">
        <v>18</v>
      </c>
      <c r="F320">
        <v>0.995</v>
      </c>
      <c r="G320">
        <v>10</v>
      </c>
      <c r="H320">
        <v>1000</v>
      </c>
      <c r="I320">
        <v>1000</v>
      </c>
      <c r="J320">
        <v>116.3</v>
      </c>
      <c r="K320">
        <v>130.9</v>
      </c>
      <c r="L320" s="1" t="s">
        <v>1074</v>
      </c>
      <c r="M320" s="1" t="s">
        <v>1075</v>
      </c>
      <c r="N320" t="b">
        <v>0</v>
      </c>
      <c r="O320" s="1" t="s">
        <v>838</v>
      </c>
      <c r="P320" s="1">
        <v>121.075899785045</v>
      </c>
      <c r="Q320" s="1" t="s">
        <v>1076</v>
      </c>
    </row>
    <row r="321" spans="1:19" x14ac:dyDescent="0.2">
      <c r="A321">
        <v>3</v>
      </c>
      <c r="B321">
        <v>1.5</v>
      </c>
      <c r="C321">
        <v>90</v>
      </c>
      <c r="D321" t="s">
        <v>322</v>
      </c>
      <c r="E321" t="s">
        <v>18</v>
      </c>
      <c r="F321">
        <v>0.995</v>
      </c>
      <c r="G321">
        <v>10</v>
      </c>
      <c r="H321">
        <v>1000</v>
      </c>
      <c r="I321">
        <v>1000</v>
      </c>
      <c r="J321">
        <v>107.9</v>
      </c>
      <c r="K321">
        <v>126.7</v>
      </c>
      <c r="L321" s="1" t="s">
        <v>1077</v>
      </c>
      <c r="M321" s="1" t="s">
        <v>1078</v>
      </c>
      <c r="N321" t="b">
        <v>0</v>
      </c>
      <c r="O321" s="1" t="s">
        <v>838</v>
      </c>
      <c r="P321" s="1">
        <v>126.309990214544</v>
      </c>
      <c r="Q321" s="1" t="s">
        <v>1079</v>
      </c>
    </row>
    <row r="322" spans="1:19" x14ac:dyDescent="0.2">
      <c r="A322">
        <v>3</v>
      </c>
      <c r="B322">
        <v>1.5</v>
      </c>
      <c r="C322">
        <v>91</v>
      </c>
      <c r="D322" t="s">
        <v>326</v>
      </c>
      <c r="E322" t="s">
        <v>18</v>
      </c>
      <c r="F322">
        <v>0.995</v>
      </c>
      <c r="G322">
        <v>10</v>
      </c>
      <c r="H322">
        <v>2000</v>
      </c>
      <c r="I322">
        <v>2000</v>
      </c>
      <c r="J322">
        <v>111.5</v>
      </c>
      <c r="K322">
        <v>268.2</v>
      </c>
      <c r="L322" s="1" t="s">
        <v>872</v>
      </c>
      <c r="M322" s="1" t="s">
        <v>1080</v>
      </c>
      <c r="N322" t="b">
        <v>0</v>
      </c>
      <c r="O322" s="1" t="s">
        <v>838</v>
      </c>
      <c r="P322" s="1">
        <v>259.43372081560102</v>
      </c>
      <c r="Q322" s="1" t="s">
        <v>1081</v>
      </c>
      <c r="S322">
        <f>P322+P323+P324+P325+P326</f>
        <v>1320.4988847967361</v>
      </c>
    </row>
    <row r="323" spans="1:19" x14ac:dyDescent="0.2">
      <c r="A323">
        <v>3</v>
      </c>
      <c r="B323">
        <v>1.5</v>
      </c>
      <c r="C323">
        <v>92</v>
      </c>
      <c r="D323" t="s">
        <v>329</v>
      </c>
      <c r="E323" t="s">
        <v>18</v>
      </c>
      <c r="F323">
        <v>0.995</v>
      </c>
      <c r="G323">
        <v>10</v>
      </c>
      <c r="H323">
        <v>2000</v>
      </c>
      <c r="I323">
        <v>2000</v>
      </c>
      <c r="J323">
        <v>109.8</v>
      </c>
      <c r="K323">
        <v>258.2</v>
      </c>
      <c r="L323">
        <v>0.98471534310949604</v>
      </c>
      <c r="M323" s="1" t="s">
        <v>1082</v>
      </c>
      <c r="N323" t="b">
        <v>0</v>
      </c>
      <c r="O323" s="1" t="s">
        <v>838</v>
      </c>
      <c r="P323" s="1">
        <v>253.610466581314</v>
      </c>
      <c r="Q323" s="1" t="s">
        <v>1083</v>
      </c>
    </row>
    <row r="324" spans="1:19" x14ac:dyDescent="0.2">
      <c r="A324">
        <v>3</v>
      </c>
      <c r="B324">
        <v>1.5</v>
      </c>
      <c r="C324">
        <v>93</v>
      </c>
      <c r="D324" t="s">
        <v>332</v>
      </c>
      <c r="E324" t="s">
        <v>18</v>
      </c>
      <c r="F324">
        <v>0.995</v>
      </c>
      <c r="G324">
        <v>10</v>
      </c>
      <c r="H324">
        <v>2000</v>
      </c>
      <c r="I324">
        <v>2000</v>
      </c>
      <c r="J324">
        <v>108.8</v>
      </c>
      <c r="K324">
        <v>257.5</v>
      </c>
      <c r="L324" s="1" t="s">
        <v>1084</v>
      </c>
      <c r="M324" s="1" t="s">
        <v>1085</v>
      </c>
      <c r="N324" t="b">
        <v>0</v>
      </c>
      <c r="O324" s="1" t="s">
        <v>838</v>
      </c>
      <c r="P324" s="1">
        <v>255.24999423654199</v>
      </c>
      <c r="Q324" s="1" t="s">
        <v>1086</v>
      </c>
    </row>
    <row r="325" spans="1:19" x14ac:dyDescent="0.2">
      <c r="A325">
        <v>3</v>
      </c>
      <c r="B325">
        <v>1.5</v>
      </c>
      <c r="C325">
        <v>94</v>
      </c>
      <c r="D325" t="s">
        <v>335</v>
      </c>
      <c r="E325" t="s">
        <v>18</v>
      </c>
      <c r="F325">
        <v>0.995</v>
      </c>
      <c r="G325">
        <v>10</v>
      </c>
      <c r="H325">
        <v>2000</v>
      </c>
      <c r="I325">
        <v>2000</v>
      </c>
      <c r="J325">
        <v>109.5</v>
      </c>
      <c r="K325">
        <v>286.8</v>
      </c>
      <c r="L325" s="1" t="s">
        <v>1087</v>
      </c>
      <c r="M325" s="1" t="s">
        <v>1088</v>
      </c>
      <c r="N325" t="b">
        <v>0</v>
      </c>
      <c r="O325" s="1" t="s">
        <v>838</v>
      </c>
      <c r="P325" s="1">
        <v>282.54668809566198</v>
      </c>
      <c r="Q325" s="1" t="s">
        <v>1089</v>
      </c>
    </row>
    <row r="326" spans="1:19" x14ac:dyDescent="0.2">
      <c r="A326">
        <v>3</v>
      </c>
      <c r="B326">
        <v>1.5</v>
      </c>
      <c r="C326">
        <v>95</v>
      </c>
      <c r="D326" t="s">
        <v>339</v>
      </c>
      <c r="E326" t="s">
        <v>18</v>
      </c>
      <c r="F326">
        <v>0.995</v>
      </c>
      <c r="G326">
        <v>10</v>
      </c>
      <c r="H326">
        <v>2000</v>
      </c>
      <c r="I326">
        <v>2000</v>
      </c>
      <c r="J326">
        <v>107.6</v>
      </c>
      <c r="K326">
        <v>269</v>
      </c>
      <c r="L326" s="1" t="s">
        <v>1090</v>
      </c>
      <c r="M326" s="1" t="s">
        <v>1091</v>
      </c>
      <c r="N326" t="b">
        <v>0</v>
      </c>
      <c r="O326" s="1" t="s">
        <v>838</v>
      </c>
      <c r="P326" s="1">
        <v>269.65801506761699</v>
      </c>
      <c r="Q326" s="1" t="s">
        <v>1092</v>
      </c>
    </row>
    <row r="327" spans="1:19" x14ac:dyDescent="0.2">
      <c r="A327">
        <v>3</v>
      </c>
      <c r="B327">
        <v>1.5</v>
      </c>
      <c r="C327">
        <v>96</v>
      </c>
      <c r="D327" t="s">
        <v>343</v>
      </c>
      <c r="E327" t="s">
        <v>18</v>
      </c>
      <c r="F327">
        <v>0.995</v>
      </c>
      <c r="G327">
        <v>10</v>
      </c>
      <c r="H327">
        <v>3000</v>
      </c>
      <c r="I327">
        <v>3000</v>
      </c>
      <c r="J327">
        <v>108.7</v>
      </c>
      <c r="K327">
        <v>375.5</v>
      </c>
      <c r="L327" s="1" t="s">
        <v>961</v>
      </c>
      <c r="M327" s="1" t="s">
        <v>1093</v>
      </c>
      <c r="N327" t="b">
        <v>0</v>
      </c>
      <c r="O327" s="1" t="s">
        <v>838</v>
      </c>
      <c r="P327" s="1">
        <v>372.85962812034199</v>
      </c>
      <c r="Q327" s="1" t="s">
        <v>1094</v>
      </c>
      <c r="S327">
        <f>P327+P328+P329+P330+P331</f>
        <v>1921.0109049489499</v>
      </c>
    </row>
    <row r="328" spans="1:19" x14ac:dyDescent="0.2">
      <c r="A328">
        <v>3</v>
      </c>
      <c r="B328">
        <v>1.5</v>
      </c>
      <c r="C328">
        <v>97</v>
      </c>
      <c r="D328" t="s">
        <v>347</v>
      </c>
      <c r="E328" t="s">
        <v>18</v>
      </c>
      <c r="F328">
        <v>0.995</v>
      </c>
      <c r="G328">
        <v>10</v>
      </c>
      <c r="H328">
        <v>3000</v>
      </c>
      <c r="I328">
        <v>3000</v>
      </c>
      <c r="J328">
        <v>110.2</v>
      </c>
      <c r="K328">
        <v>391.3</v>
      </c>
      <c r="L328" s="1" t="s">
        <v>836</v>
      </c>
      <c r="M328" s="1" t="s">
        <v>1095</v>
      </c>
      <c r="N328" t="b">
        <v>0</v>
      </c>
      <c r="O328" s="1" t="s">
        <v>838</v>
      </c>
      <c r="P328" s="1">
        <v>383.277313442994</v>
      </c>
      <c r="Q328" s="1" t="s">
        <v>1096</v>
      </c>
    </row>
    <row r="329" spans="1:19" x14ac:dyDescent="0.2">
      <c r="A329">
        <v>3</v>
      </c>
      <c r="B329">
        <v>1.5</v>
      </c>
      <c r="C329">
        <v>98</v>
      </c>
      <c r="D329" t="s">
        <v>351</v>
      </c>
      <c r="E329" t="s">
        <v>18</v>
      </c>
      <c r="F329">
        <v>0.995</v>
      </c>
      <c r="G329">
        <v>10</v>
      </c>
      <c r="H329">
        <v>3000</v>
      </c>
      <c r="I329">
        <v>3000</v>
      </c>
      <c r="J329">
        <v>112.7</v>
      </c>
      <c r="K329">
        <v>379.5</v>
      </c>
      <c r="L329" s="1" t="s">
        <v>1097</v>
      </c>
      <c r="M329" s="1" t="s">
        <v>1098</v>
      </c>
      <c r="N329" t="b">
        <v>0</v>
      </c>
      <c r="O329" s="1" t="s">
        <v>838</v>
      </c>
      <c r="P329" s="1">
        <v>363.44025354900901</v>
      </c>
      <c r="Q329" s="1" t="s">
        <v>1099</v>
      </c>
    </row>
    <row r="330" spans="1:19" x14ac:dyDescent="0.2">
      <c r="A330">
        <v>3</v>
      </c>
      <c r="B330">
        <v>1.5</v>
      </c>
      <c r="C330">
        <v>99</v>
      </c>
      <c r="D330" t="s">
        <v>354</v>
      </c>
      <c r="E330" t="s">
        <v>18</v>
      </c>
      <c r="F330">
        <v>0.995</v>
      </c>
      <c r="G330">
        <v>10</v>
      </c>
      <c r="H330">
        <v>3000</v>
      </c>
      <c r="I330">
        <v>3000</v>
      </c>
      <c r="J330">
        <v>105.7</v>
      </c>
      <c r="K330">
        <v>390.5</v>
      </c>
      <c r="L330" s="1" t="s">
        <v>1046</v>
      </c>
      <c r="M330" s="1" t="s">
        <v>1100</v>
      </c>
      <c r="N330" t="b">
        <v>0</v>
      </c>
      <c r="O330" s="1" t="s">
        <v>838</v>
      </c>
      <c r="P330" s="1">
        <v>398.80655691729999</v>
      </c>
      <c r="Q330" s="1" t="s">
        <v>1101</v>
      </c>
    </row>
    <row r="331" spans="1:19" x14ac:dyDescent="0.2">
      <c r="A331">
        <v>3</v>
      </c>
      <c r="B331">
        <v>1.5</v>
      </c>
      <c r="C331">
        <v>100</v>
      </c>
      <c r="D331" t="s">
        <v>358</v>
      </c>
      <c r="E331" t="s">
        <v>18</v>
      </c>
      <c r="F331">
        <v>0.995</v>
      </c>
      <c r="G331">
        <v>10</v>
      </c>
      <c r="H331">
        <v>3000</v>
      </c>
      <c r="I331">
        <v>3000</v>
      </c>
      <c r="J331">
        <v>106.2</v>
      </c>
      <c r="K331">
        <v>396.1</v>
      </c>
      <c r="L331" s="1" t="s">
        <v>1102</v>
      </c>
      <c r="M331" s="1" t="s">
        <v>1103</v>
      </c>
      <c r="N331" t="b">
        <v>0</v>
      </c>
      <c r="O331" s="1" t="s">
        <v>838</v>
      </c>
      <c r="P331" s="1">
        <v>402.62715291930499</v>
      </c>
      <c r="Q331" s="1" t="s">
        <v>1104</v>
      </c>
    </row>
    <row r="332" spans="1:19" x14ac:dyDescent="0.2">
      <c r="A332">
        <v>3</v>
      </c>
      <c r="B332">
        <v>1.5</v>
      </c>
      <c r="C332">
        <v>101</v>
      </c>
      <c r="D332" t="s">
        <v>362</v>
      </c>
      <c r="E332" t="s">
        <v>18</v>
      </c>
      <c r="F332">
        <v>0.995</v>
      </c>
      <c r="G332">
        <v>10</v>
      </c>
      <c r="H332">
        <v>5000</v>
      </c>
      <c r="I332">
        <v>5000</v>
      </c>
      <c r="J332">
        <v>104.2</v>
      </c>
      <c r="K332">
        <v>627.9</v>
      </c>
      <c r="L332" s="1" t="s">
        <v>1105</v>
      </c>
      <c r="M332" s="1" t="s">
        <v>1106</v>
      </c>
      <c r="N332" t="b">
        <v>0</v>
      </c>
      <c r="O332" s="1" t="s">
        <v>838</v>
      </c>
      <c r="P332" s="1">
        <v>650.91690136445504</v>
      </c>
      <c r="Q332" s="1" t="s">
        <v>1107</v>
      </c>
      <c r="S332">
        <f>P332+P333+P334+P335+P336</f>
        <v>3256.3733211289746</v>
      </c>
    </row>
    <row r="333" spans="1:19" x14ac:dyDescent="0.2">
      <c r="A333">
        <v>3</v>
      </c>
      <c r="B333">
        <v>1.5</v>
      </c>
      <c r="C333">
        <v>102</v>
      </c>
      <c r="D333" t="s">
        <v>366</v>
      </c>
      <c r="E333" t="s">
        <v>18</v>
      </c>
      <c r="F333">
        <v>0.995</v>
      </c>
      <c r="G333">
        <v>10</v>
      </c>
      <c r="H333">
        <v>5000</v>
      </c>
      <c r="I333">
        <v>5000</v>
      </c>
      <c r="J333">
        <v>112.3</v>
      </c>
      <c r="K333">
        <v>639.20000000000005</v>
      </c>
      <c r="L333">
        <v>0.96275557262957701</v>
      </c>
      <c r="M333" s="1" t="s">
        <v>1108</v>
      </c>
      <c r="N333" t="b">
        <v>0</v>
      </c>
      <c r="O333" s="1" t="s">
        <v>838</v>
      </c>
      <c r="P333" s="1">
        <v>614.76466709975898</v>
      </c>
      <c r="Q333" s="1" t="s">
        <v>1109</v>
      </c>
    </row>
    <row r="334" spans="1:19" x14ac:dyDescent="0.2">
      <c r="A334">
        <v>3</v>
      </c>
      <c r="B334">
        <v>1.5</v>
      </c>
      <c r="C334">
        <v>103</v>
      </c>
      <c r="D334" t="s">
        <v>370</v>
      </c>
      <c r="E334" t="s">
        <v>18</v>
      </c>
      <c r="F334">
        <v>0.995</v>
      </c>
      <c r="G334">
        <v>10</v>
      </c>
      <c r="H334">
        <v>5000</v>
      </c>
      <c r="I334">
        <v>5000</v>
      </c>
      <c r="J334">
        <v>101.4</v>
      </c>
      <c r="K334">
        <v>627.9</v>
      </c>
      <c r="L334">
        <v>1.0664470013510601</v>
      </c>
      <c r="M334" s="1" t="s">
        <v>1110</v>
      </c>
      <c r="N334" t="b">
        <v>0</v>
      </c>
      <c r="O334" s="1" t="s">
        <v>838</v>
      </c>
      <c r="P334" s="1">
        <v>668.92566504702404</v>
      </c>
      <c r="Q334" s="1" t="s">
        <v>1111</v>
      </c>
    </row>
    <row r="335" spans="1:19" x14ac:dyDescent="0.2">
      <c r="A335">
        <v>3</v>
      </c>
      <c r="B335">
        <v>1.5</v>
      </c>
      <c r="C335">
        <v>104</v>
      </c>
      <c r="D335" t="s">
        <v>374</v>
      </c>
      <c r="E335" t="s">
        <v>18</v>
      </c>
      <c r="F335">
        <v>0.995</v>
      </c>
      <c r="G335">
        <v>10</v>
      </c>
      <c r="H335">
        <v>5000</v>
      </c>
      <c r="I335">
        <v>5000</v>
      </c>
      <c r="J335">
        <v>105.2</v>
      </c>
      <c r="K335">
        <v>673.6</v>
      </c>
      <c r="L335" s="1" t="s">
        <v>924</v>
      </c>
      <c r="M335" s="1" t="s">
        <v>1112</v>
      </c>
      <c r="N335" t="b">
        <v>0</v>
      </c>
      <c r="O335" s="1" t="s">
        <v>838</v>
      </c>
      <c r="P335" s="1">
        <v>691.69085769744402</v>
      </c>
      <c r="Q335" s="1" t="s">
        <v>1113</v>
      </c>
    </row>
    <row r="336" spans="1:19" x14ac:dyDescent="0.2">
      <c r="A336">
        <v>3</v>
      </c>
      <c r="B336">
        <v>1.5</v>
      </c>
      <c r="C336">
        <v>105</v>
      </c>
      <c r="D336" t="s">
        <v>378</v>
      </c>
      <c r="E336" t="s">
        <v>18</v>
      </c>
      <c r="F336">
        <v>0.995</v>
      </c>
      <c r="G336">
        <v>10</v>
      </c>
      <c r="H336">
        <v>5000</v>
      </c>
      <c r="I336">
        <v>5000</v>
      </c>
      <c r="J336">
        <v>104.3</v>
      </c>
      <c r="K336">
        <v>608.4</v>
      </c>
      <c r="L336" s="1" t="s">
        <v>983</v>
      </c>
      <c r="M336" s="1" t="s">
        <v>1114</v>
      </c>
      <c r="N336" t="b">
        <v>0</v>
      </c>
      <c r="O336" s="1" t="s">
        <v>838</v>
      </c>
      <c r="P336" s="1">
        <v>630.07522992029203</v>
      </c>
      <c r="Q336" s="1" t="s">
        <v>1115</v>
      </c>
    </row>
    <row r="337" spans="1:24" x14ac:dyDescent="0.2">
      <c r="A337">
        <v>3</v>
      </c>
      <c r="B337">
        <v>1.5</v>
      </c>
      <c r="C337">
        <v>106</v>
      </c>
      <c r="D337" t="s">
        <v>382</v>
      </c>
      <c r="E337" t="s">
        <v>18</v>
      </c>
      <c r="F337">
        <v>0.995</v>
      </c>
      <c r="G337">
        <v>10</v>
      </c>
      <c r="H337">
        <v>0</v>
      </c>
      <c r="I337">
        <v>0</v>
      </c>
      <c r="J337">
        <v>104.6</v>
      </c>
      <c r="K337">
        <v>0.4773</v>
      </c>
      <c r="L337" s="1" t="s">
        <v>1116</v>
      </c>
      <c r="M337" s="1" t="s">
        <v>1117</v>
      </c>
      <c r="N337" t="b">
        <v>1</v>
      </c>
      <c r="O337" s="1" t="s">
        <v>838</v>
      </c>
      <c r="P337">
        <v>0.18164837881036</v>
      </c>
      <c r="Q337">
        <v>8.71364534735527E-2</v>
      </c>
      <c r="S337">
        <f>P337+P338+P339+P340+P341</f>
        <v>0.79744861986353466</v>
      </c>
    </row>
    <row r="338" spans="1:24" x14ac:dyDescent="0.2">
      <c r="A338">
        <v>3</v>
      </c>
      <c r="B338">
        <v>1.5</v>
      </c>
      <c r="C338">
        <v>107</v>
      </c>
      <c r="D338" t="s">
        <v>386</v>
      </c>
      <c r="E338" t="s">
        <v>18</v>
      </c>
      <c r="F338">
        <v>0.995</v>
      </c>
      <c r="G338">
        <v>10</v>
      </c>
      <c r="H338">
        <v>0</v>
      </c>
      <c r="I338">
        <v>0</v>
      </c>
      <c r="J338">
        <v>124.2</v>
      </c>
      <c r="K338">
        <v>0.41360000000000002</v>
      </c>
      <c r="L338" s="1" t="s">
        <v>1118</v>
      </c>
      <c r="M338" s="1" t="s">
        <v>1119</v>
      </c>
      <c r="N338" t="b">
        <v>1</v>
      </c>
      <c r="O338" s="1" t="s">
        <v>838</v>
      </c>
      <c r="P338">
        <v>0.208379527327996</v>
      </c>
      <c r="Q338">
        <v>8.6618866837044603E-2</v>
      </c>
    </row>
    <row r="339" spans="1:24" x14ac:dyDescent="0.2">
      <c r="A339">
        <v>3</v>
      </c>
      <c r="B339">
        <v>1.5</v>
      </c>
      <c r="C339">
        <v>108</v>
      </c>
      <c r="D339" t="s">
        <v>390</v>
      </c>
      <c r="E339" t="s">
        <v>18</v>
      </c>
      <c r="F339">
        <v>0.995</v>
      </c>
      <c r="G339">
        <v>10</v>
      </c>
      <c r="H339">
        <v>0</v>
      </c>
      <c r="I339">
        <v>0</v>
      </c>
      <c r="J339">
        <v>105.5</v>
      </c>
      <c r="K339">
        <v>0.45429999999999998</v>
      </c>
      <c r="L339" s="1" t="s">
        <v>953</v>
      </c>
      <c r="M339" s="1" t="s">
        <v>1120</v>
      </c>
      <c r="N339" t="b">
        <v>1</v>
      </c>
      <c r="O339" s="1" t="s">
        <v>838</v>
      </c>
      <c r="P339">
        <v>0.20366917367759901</v>
      </c>
      <c r="Q339">
        <v>9.29918649263652E-2</v>
      </c>
    </row>
    <row r="340" spans="1:24" x14ac:dyDescent="0.2">
      <c r="A340">
        <v>3</v>
      </c>
      <c r="B340">
        <v>1.5</v>
      </c>
      <c r="C340">
        <v>109</v>
      </c>
      <c r="D340" t="s">
        <v>1121</v>
      </c>
      <c r="E340" t="s">
        <v>18</v>
      </c>
      <c r="F340">
        <v>0.995</v>
      </c>
      <c r="G340">
        <v>10</v>
      </c>
      <c r="H340">
        <v>0</v>
      </c>
      <c r="I340">
        <v>0</v>
      </c>
      <c r="J340">
        <v>103.7</v>
      </c>
      <c r="K340">
        <v>0.60109999999999997</v>
      </c>
      <c r="L340" s="1" t="s">
        <v>1059</v>
      </c>
      <c r="M340" s="1" t="s">
        <v>1122</v>
      </c>
      <c r="N340" t="b">
        <v>1</v>
      </c>
      <c r="O340" s="1" t="s">
        <v>838</v>
      </c>
      <c r="P340">
        <v>5.4135510582412602E-2</v>
      </c>
      <c r="Q340">
        <v>3.2704377297576102E-2</v>
      </c>
    </row>
    <row r="341" spans="1:24" x14ac:dyDescent="0.2">
      <c r="A341">
        <v>3</v>
      </c>
      <c r="B341">
        <v>1.5</v>
      </c>
      <c r="C341">
        <v>110</v>
      </c>
      <c r="D341" t="s">
        <v>394</v>
      </c>
      <c r="E341" t="s">
        <v>18</v>
      </c>
      <c r="F341">
        <v>0.995</v>
      </c>
      <c r="G341">
        <v>10</v>
      </c>
      <c r="H341">
        <v>0</v>
      </c>
      <c r="I341">
        <v>0</v>
      </c>
      <c r="J341">
        <v>105.6</v>
      </c>
      <c r="K341">
        <v>0.50690000000000002</v>
      </c>
      <c r="L341" s="1" t="s">
        <v>1123</v>
      </c>
      <c r="M341" s="1" t="s">
        <v>1124</v>
      </c>
      <c r="N341" t="b">
        <v>1</v>
      </c>
      <c r="O341" s="1" t="s">
        <v>838</v>
      </c>
      <c r="P341">
        <v>0.149616029465167</v>
      </c>
      <c r="Q341">
        <v>7.6221472699390502E-2</v>
      </c>
    </row>
    <row r="342" spans="1:24" x14ac:dyDescent="0.2">
      <c r="A342">
        <v>3</v>
      </c>
      <c r="B342">
        <v>1.5</v>
      </c>
      <c r="C342">
        <v>111</v>
      </c>
      <c r="D342" t="s">
        <v>397</v>
      </c>
      <c r="E342" t="s">
        <v>407</v>
      </c>
      <c r="F342">
        <v>0.995</v>
      </c>
      <c r="G342">
        <v>6</v>
      </c>
      <c r="H342">
        <v>200</v>
      </c>
      <c r="I342">
        <v>600</v>
      </c>
      <c r="J342">
        <v>104.4</v>
      </c>
      <c r="K342">
        <v>24.31</v>
      </c>
      <c r="L342" s="1" t="s">
        <v>988</v>
      </c>
      <c r="M342" s="1" t="s">
        <v>1125</v>
      </c>
      <c r="N342" t="b">
        <v>0</v>
      </c>
      <c r="O342" s="1" t="s">
        <v>838</v>
      </c>
      <c r="P342" s="1">
        <v>24.502590190274301</v>
      </c>
      <c r="Q342">
        <v>598.65122364378897</v>
      </c>
      <c r="S342">
        <f>P342+P343+P345+P344+P346</f>
        <v>127.73918052129952</v>
      </c>
    </row>
    <row r="343" spans="1:24" x14ac:dyDescent="0.2">
      <c r="A343">
        <v>3</v>
      </c>
      <c r="B343">
        <v>1.5</v>
      </c>
      <c r="C343">
        <v>112</v>
      </c>
      <c r="D343" t="s">
        <v>399</v>
      </c>
      <c r="E343" t="s">
        <v>407</v>
      </c>
      <c r="F343">
        <v>0.995</v>
      </c>
      <c r="G343">
        <v>6</v>
      </c>
      <c r="H343">
        <v>200</v>
      </c>
      <c r="I343">
        <v>600</v>
      </c>
      <c r="J343">
        <v>105.6</v>
      </c>
      <c r="K343">
        <v>26.38</v>
      </c>
      <c r="L343" s="1" t="s">
        <v>1123</v>
      </c>
      <c r="M343" s="1" t="s">
        <v>1126</v>
      </c>
      <c r="N343" t="b">
        <v>0</v>
      </c>
      <c r="O343" s="1" t="s">
        <v>838</v>
      </c>
      <c r="P343" s="1">
        <v>26.343217460703102</v>
      </c>
      <c r="Q343" s="1" t="s">
        <v>1127</v>
      </c>
    </row>
    <row r="344" spans="1:24" x14ac:dyDescent="0.2">
      <c r="A344">
        <v>3</v>
      </c>
      <c r="B344">
        <v>1.5</v>
      </c>
      <c r="C344">
        <v>113</v>
      </c>
      <c r="D344" t="s">
        <v>401</v>
      </c>
      <c r="E344" t="s">
        <v>407</v>
      </c>
      <c r="F344">
        <v>0.995</v>
      </c>
      <c r="G344">
        <v>6</v>
      </c>
      <c r="H344">
        <v>200</v>
      </c>
      <c r="I344">
        <v>600</v>
      </c>
      <c r="J344">
        <v>99.24</v>
      </c>
      <c r="K344">
        <v>24.07</v>
      </c>
      <c r="L344" s="1" t="s">
        <v>1128</v>
      </c>
      <c r="M344" s="1" t="s">
        <v>1129</v>
      </c>
      <c r="N344" t="b">
        <v>0</v>
      </c>
      <c r="O344" s="1" t="s">
        <v>838</v>
      </c>
      <c r="P344" s="1">
        <v>25.517592449008799</v>
      </c>
      <c r="Q344" s="1" t="s">
        <v>1130</v>
      </c>
    </row>
    <row r="345" spans="1:24" x14ac:dyDescent="0.2">
      <c r="A345">
        <v>3</v>
      </c>
      <c r="B345">
        <v>1.5</v>
      </c>
      <c r="C345">
        <v>114</v>
      </c>
      <c r="D345" t="s">
        <v>403</v>
      </c>
      <c r="E345" t="s">
        <v>407</v>
      </c>
      <c r="F345">
        <v>0.995</v>
      </c>
      <c r="G345">
        <v>6</v>
      </c>
      <c r="H345">
        <v>200</v>
      </c>
      <c r="I345">
        <v>600</v>
      </c>
      <c r="J345">
        <v>103.4</v>
      </c>
      <c r="K345">
        <v>23.74</v>
      </c>
      <c r="L345" s="1" t="s">
        <v>1131</v>
      </c>
      <c r="M345" s="1" t="s">
        <v>1132</v>
      </c>
      <c r="N345" t="b">
        <v>0</v>
      </c>
      <c r="O345" s="1" t="s">
        <v>838</v>
      </c>
      <c r="P345" s="1">
        <v>24.143913332524701</v>
      </c>
      <c r="Q345" s="1" t="s">
        <v>1133</v>
      </c>
    </row>
    <row r="346" spans="1:24" x14ac:dyDescent="0.2">
      <c r="A346">
        <v>3</v>
      </c>
      <c r="B346">
        <v>1.5</v>
      </c>
      <c r="C346">
        <v>115</v>
      </c>
      <c r="D346" t="s">
        <v>406</v>
      </c>
      <c r="E346" t="s">
        <v>407</v>
      </c>
      <c r="F346">
        <v>0.995</v>
      </c>
      <c r="G346">
        <v>6</v>
      </c>
      <c r="H346">
        <v>200</v>
      </c>
      <c r="I346">
        <v>600</v>
      </c>
      <c r="J346">
        <v>102.2</v>
      </c>
      <c r="K346">
        <v>26.39</v>
      </c>
      <c r="L346" s="1" t="s">
        <v>1134</v>
      </c>
      <c r="M346" s="1" t="s">
        <v>1135</v>
      </c>
      <c r="N346" t="b">
        <v>0</v>
      </c>
      <c r="O346" s="1" t="s">
        <v>838</v>
      </c>
      <c r="P346" s="1">
        <v>27.231867088788601</v>
      </c>
      <c r="Q346" s="1" t="s">
        <v>1136</v>
      </c>
    </row>
    <row r="347" spans="1:24" x14ac:dyDescent="0.2">
      <c r="A347">
        <v>3</v>
      </c>
      <c r="B347">
        <v>1.5</v>
      </c>
      <c r="C347">
        <v>116</v>
      </c>
      <c r="D347" t="s">
        <v>411</v>
      </c>
      <c r="E347" t="s">
        <v>407</v>
      </c>
      <c r="F347">
        <v>0.995</v>
      </c>
      <c r="G347">
        <v>6</v>
      </c>
      <c r="H347">
        <v>200</v>
      </c>
      <c r="I347">
        <v>500</v>
      </c>
      <c r="J347">
        <v>108.1</v>
      </c>
      <c r="K347">
        <v>23.91</v>
      </c>
      <c r="L347" s="1" t="s">
        <v>1137</v>
      </c>
      <c r="M347" s="1" t="s">
        <v>1138</v>
      </c>
      <c r="N347" t="b">
        <v>0</v>
      </c>
      <c r="O347" s="1" t="s">
        <v>838</v>
      </c>
      <c r="P347" s="1">
        <v>23.262314714770199</v>
      </c>
      <c r="Q347" s="1" t="s">
        <v>1139</v>
      </c>
      <c r="S347">
        <f>P347+P348+P349+P350+P351</f>
        <v>123.2855822440863</v>
      </c>
    </row>
    <row r="348" spans="1:24" x14ac:dyDescent="0.2">
      <c r="A348">
        <v>3</v>
      </c>
      <c r="B348">
        <v>1.5</v>
      </c>
      <c r="C348">
        <v>117</v>
      </c>
      <c r="D348" t="s">
        <v>415</v>
      </c>
      <c r="E348" t="s">
        <v>407</v>
      </c>
      <c r="F348">
        <v>0.995</v>
      </c>
      <c r="G348">
        <v>6</v>
      </c>
      <c r="H348">
        <v>200</v>
      </c>
      <c r="I348">
        <v>500</v>
      </c>
      <c r="J348">
        <v>95.26</v>
      </c>
      <c r="K348">
        <v>21.91</v>
      </c>
      <c r="L348" s="1" t="s">
        <v>1140</v>
      </c>
      <c r="M348" s="1" t="s">
        <v>1141</v>
      </c>
      <c r="N348" t="b">
        <v>0</v>
      </c>
      <c r="O348" s="1" t="s">
        <v>838</v>
      </c>
      <c r="P348" s="1">
        <v>24.1336152526261</v>
      </c>
      <c r="Q348" s="1" t="s">
        <v>1142</v>
      </c>
    </row>
    <row r="349" spans="1:24" x14ac:dyDescent="0.2">
      <c r="A349">
        <v>3</v>
      </c>
      <c r="B349">
        <v>1.5</v>
      </c>
      <c r="C349">
        <v>118</v>
      </c>
      <c r="D349" t="s">
        <v>419</v>
      </c>
      <c r="E349" t="s">
        <v>407</v>
      </c>
      <c r="F349">
        <v>0.995</v>
      </c>
      <c r="G349">
        <v>6</v>
      </c>
      <c r="H349">
        <v>200</v>
      </c>
      <c r="I349">
        <v>500</v>
      </c>
      <c r="J349">
        <v>101.1</v>
      </c>
      <c r="K349">
        <v>23.69</v>
      </c>
      <c r="L349" s="1" t="s">
        <v>1143</v>
      </c>
      <c r="M349" s="1" t="s">
        <v>1144</v>
      </c>
      <c r="N349" t="b">
        <v>0</v>
      </c>
      <c r="O349" s="1" t="s">
        <v>838</v>
      </c>
      <c r="P349" s="1">
        <v>24.640764882520202</v>
      </c>
      <c r="Q349" s="1" t="s">
        <v>1145</v>
      </c>
    </row>
    <row r="350" spans="1:24" x14ac:dyDescent="0.2">
      <c r="A350">
        <v>3</v>
      </c>
      <c r="B350">
        <v>1.5</v>
      </c>
      <c r="C350">
        <v>119</v>
      </c>
      <c r="D350" t="s">
        <v>422</v>
      </c>
      <c r="E350" t="s">
        <v>407</v>
      </c>
      <c r="F350">
        <v>0.995</v>
      </c>
      <c r="G350">
        <v>6</v>
      </c>
      <c r="H350">
        <v>200</v>
      </c>
      <c r="I350">
        <v>500</v>
      </c>
      <c r="J350">
        <v>101.9</v>
      </c>
      <c r="K350">
        <v>25.45</v>
      </c>
      <c r="L350">
        <v>1.0612041293499399</v>
      </c>
      <c r="M350" s="1" t="s">
        <v>1146</v>
      </c>
      <c r="N350" t="b">
        <v>0</v>
      </c>
      <c r="O350" s="1" t="s">
        <v>838</v>
      </c>
      <c r="P350" s="1">
        <v>26.314661670671601</v>
      </c>
      <c r="Q350" s="1" t="s">
        <v>1147</v>
      </c>
    </row>
    <row r="351" spans="1:24" x14ac:dyDescent="0.2">
      <c r="A351">
        <v>3</v>
      </c>
      <c r="B351">
        <v>1.5</v>
      </c>
      <c r="C351">
        <v>120</v>
      </c>
      <c r="D351" t="s">
        <v>425</v>
      </c>
      <c r="E351" t="s">
        <v>407</v>
      </c>
      <c r="F351">
        <v>0.995</v>
      </c>
      <c r="G351">
        <v>6</v>
      </c>
      <c r="H351">
        <v>200</v>
      </c>
      <c r="I351">
        <v>500</v>
      </c>
      <c r="J351">
        <v>96.06</v>
      </c>
      <c r="K351">
        <v>22.8</v>
      </c>
      <c r="L351" s="1" t="s">
        <v>1148</v>
      </c>
      <c r="M351" s="1" t="s">
        <v>1149</v>
      </c>
      <c r="N351" t="b">
        <v>0</v>
      </c>
      <c r="O351" s="1" t="s">
        <v>838</v>
      </c>
      <c r="P351" s="1">
        <v>24.934225723498201</v>
      </c>
      <c r="Q351" s="1" t="s">
        <v>1150</v>
      </c>
      <c r="U351">
        <v>600</v>
      </c>
      <c r="V351">
        <f>S342/5</f>
        <v>25.547836104259904</v>
      </c>
      <c r="X351">
        <f>_xlfn.STDEV.S(P382:P386)</f>
        <v>0.11604899316119151</v>
      </c>
    </row>
    <row r="352" spans="1:24" x14ac:dyDescent="0.2">
      <c r="A352">
        <v>3</v>
      </c>
      <c r="B352">
        <v>1.5</v>
      </c>
      <c r="C352">
        <v>121</v>
      </c>
      <c r="D352" t="s">
        <v>1151</v>
      </c>
      <c r="E352" t="s">
        <v>407</v>
      </c>
      <c r="F352">
        <v>0.995</v>
      </c>
      <c r="G352">
        <v>6</v>
      </c>
      <c r="H352">
        <v>200</v>
      </c>
      <c r="I352">
        <v>400</v>
      </c>
      <c r="J352">
        <v>109.3</v>
      </c>
      <c r="K352">
        <v>24.96</v>
      </c>
      <c r="L352" s="1" t="s">
        <v>1152</v>
      </c>
      <c r="M352" s="1" t="s">
        <v>1153</v>
      </c>
      <c r="N352" t="b">
        <v>0</v>
      </c>
      <c r="O352" s="1" t="s">
        <v>838</v>
      </c>
      <c r="P352" s="1">
        <v>24.045150513814299</v>
      </c>
      <c r="Q352" s="1" t="s">
        <v>1154</v>
      </c>
      <c r="S352">
        <f>P352+P353+P354+P355+P356</f>
        <v>122.59715379913651</v>
      </c>
      <c r="U352">
        <v>500</v>
      </c>
      <c r="V352">
        <f>S347/5</f>
        <v>24.657116448817259</v>
      </c>
      <c r="X352">
        <f>_xlfn.STDEV.S(P377:P381)</f>
        <v>0.75448844733770692</v>
      </c>
    </row>
    <row r="353" spans="1:24" x14ac:dyDescent="0.2">
      <c r="A353">
        <v>3</v>
      </c>
      <c r="B353">
        <v>1.5</v>
      </c>
      <c r="C353">
        <v>122</v>
      </c>
      <c r="D353" t="s">
        <v>429</v>
      </c>
      <c r="E353" t="s">
        <v>407</v>
      </c>
      <c r="F353">
        <v>0.995</v>
      </c>
      <c r="G353">
        <v>6</v>
      </c>
      <c r="H353">
        <v>200</v>
      </c>
      <c r="I353">
        <v>400</v>
      </c>
      <c r="J353">
        <v>108.8</v>
      </c>
      <c r="K353">
        <v>25.54</v>
      </c>
      <c r="L353" s="1" t="s">
        <v>1084</v>
      </c>
      <c r="M353" s="1" t="s">
        <v>1155</v>
      </c>
      <c r="N353" t="b">
        <v>0</v>
      </c>
      <c r="O353" s="1" t="s">
        <v>838</v>
      </c>
      <c r="P353" s="1">
        <v>24.732244825376402</v>
      </c>
      <c r="Q353" s="1" t="s">
        <v>1156</v>
      </c>
      <c r="U353">
        <v>400</v>
      </c>
      <c r="V353">
        <f>S352/5</f>
        <v>24.519430759827301</v>
      </c>
      <c r="X353">
        <f>_xlfn.STDEV.S(P372:P376)</f>
        <v>0.36630327247037353</v>
      </c>
    </row>
    <row r="354" spans="1:24" x14ac:dyDescent="0.2">
      <c r="A354">
        <v>3</v>
      </c>
      <c r="B354">
        <v>1.5</v>
      </c>
      <c r="C354">
        <v>123</v>
      </c>
      <c r="D354" t="s">
        <v>432</v>
      </c>
      <c r="E354" t="s">
        <v>407</v>
      </c>
      <c r="F354">
        <v>0.995</v>
      </c>
      <c r="G354">
        <v>6</v>
      </c>
      <c r="H354">
        <v>200</v>
      </c>
      <c r="I354">
        <v>400</v>
      </c>
      <c r="J354">
        <v>109.4</v>
      </c>
      <c r="K354">
        <v>26.45</v>
      </c>
      <c r="L354" s="1" t="s">
        <v>999</v>
      </c>
      <c r="M354" s="1" t="s">
        <v>1157</v>
      </c>
      <c r="N354" t="b">
        <v>0</v>
      </c>
      <c r="O354" s="1" t="s">
        <v>838</v>
      </c>
      <c r="P354" s="1">
        <v>25.495732140957301</v>
      </c>
      <c r="Q354" s="1" t="s">
        <v>1158</v>
      </c>
      <c r="U354">
        <v>300</v>
      </c>
      <c r="V354">
        <f>S357/5</f>
        <v>24.846337627478441</v>
      </c>
      <c r="X354">
        <f>_xlfn.STDEV.S(P367:P371)</f>
        <v>0.38254589544545009</v>
      </c>
    </row>
    <row r="355" spans="1:24" x14ac:dyDescent="0.2">
      <c r="A355">
        <v>3</v>
      </c>
      <c r="B355">
        <v>1.5</v>
      </c>
      <c r="C355">
        <v>124</v>
      </c>
      <c r="D355" t="s">
        <v>436</v>
      </c>
      <c r="E355" t="s">
        <v>407</v>
      </c>
      <c r="F355">
        <v>0.995</v>
      </c>
      <c r="G355">
        <v>6</v>
      </c>
      <c r="H355">
        <v>200</v>
      </c>
      <c r="I355">
        <v>400</v>
      </c>
      <c r="J355">
        <v>103.2</v>
      </c>
      <c r="K355">
        <v>24.14</v>
      </c>
      <c r="L355" s="1" t="s">
        <v>843</v>
      </c>
      <c r="M355" s="1" t="s">
        <v>1159</v>
      </c>
      <c r="N355" t="b">
        <v>0</v>
      </c>
      <c r="O355" s="1" t="s">
        <v>838</v>
      </c>
      <c r="P355" s="1">
        <v>24.609917033333499</v>
      </c>
      <c r="Q355" s="1" t="s">
        <v>1160</v>
      </c>
      <c r="U355">
        <v>200</v>
      </c>
      <c r="V355">
        <f>S362/5</f>
        <v>25.082921427979919</v>
      </c>
      <c r="X355">
        <f>_xlfn.STDEV.S(P362:P366)</f>
        <v>1.2480465645976326</v>
      </c>
    </row>
    <row r="356" spans="1:24" x14ac:dyDescent="0.2">
      <c r="A356">
        <v>3</v>
      </c>
      <c r="B356">
        <v>1.5</v>
      </c>
      <c r="C356">
        <v>125</v>
      </c>
      <c r="D356" t="s">
        <v>439</v>
      </c>
      <c r="E356" t="s">
        <v>407</v>
      </c>
      <c r="F356">
        <v>0.995</v>
      </c>
      <c r="G356">
        <v>6</v>
      </c>
      <c r="H356">
        <v>200</v>
      </c>
      <c r="I356">
        <v>400</v>
      </c>
      <c r="J356">
        <v>107</v>
      </c>
      <c r="K356">
        <v>24.12</v>
      </c>
      <c r="L356" s="1" t="s">
        <v>991</v>
      </c>
      <c r="M356" s="1" t="s">
        <v>1161</v>
      </c>
      <c r="N356" t="b">
        <v>0</v>
      </c>
      <c r="O356" s="1" t="s">
        <v>838</v>
      </c>
      <c r="P356" s="1">
        <v>23.714109285654999</v>
      </c>
      <c r="Q356" s="1" t="s">
        <v>1162</v>
      </c>
      <c r="U356">
        <v>100</v>
      </c>
      <c r="V356">
        <f>S367/5</f>
        <v>25.092365951637881</v>
      </c>
      <c r="X356">
        <f>_xlfn.STDEV.S(P357:P361)</f>
        <v>0.31949973748708005</v>
      </c>
    </row>
    <row r="357" spans="1:24" x14ac:dyDescent="0.2">
      <c r="A357">
        <v>3</v>
      </c>
      <c r="B357">
        <v>1.5</v>
      </c>
      <c r="C357">
        <v>126</v>
      </c>
      <c r="D357" t="s">
        <v>442</v>
      </c>
      <c r="E357" t="s">
        <v>407</v>
      </c>
      <c r="F357">
        <v>0.995</v>
      </c>
      <c r="G357">
        <v>6</v>
      </c>
      <c r="H357">
        <v>200</v>
      </c>
      <c r="I357">
        <v>300</v>
      </c>
      <c r="J357">
        <v>106.1</v>
      </c>
      <c r="K357">
        <v>24.51</v>
      </c>
      <c r="L357" s="1" t="s">
        <v>887</v>
      </c>
      <c r="M357" s="1" t="s">
        <v>1163</v>
      </c>
      <c r="N357" t="b">
        <v>0</v>
      </c>
      <c r="O357" s="1" t="s">
        <v>838</v>
      </c>
      <c r="P357" s="1">
        <v>24.313093335655001</v>
      </c>
      <c r="Q357" s="1" t="s">
        <v>1164</v>
      </c>
      <c r="S357">
        <f>P357+P358+P359+P360+P361</f>
        <v>124.2316881373922</v>
      </c>
      <c r="U357">
        <v>80</v>
      </c>
      <c r="V357">
        <f>S372/5</f>
        <v>25.131895544101845</v>
      </c>
      <c r="X357">
        <f>_xlfn.STDEV.S(P352:P356)</f>
        <v>0.68558850768994894</v>
      </c>
    </row>
    <row r="358" spans="1:24" x14ac:dyDescent="0.2">
      <c r="A358">
        <v>3</v>
      </c>
      <c r="B358">
        <v>1.5</v>
      </c>
      <c r="C358">
        <v>127</v>
      </c>
      <c r="D358" t="s">
        <v>445</v>
      </c>
      <c r="E358" t="s">
        <v>407</v>
      </c>
      <c r="F358">
        <v>0.995</v>
      </c>
      <c r="G358">
        <v>6</v>
      </c>
      <c r="H358">
        <v>200</v>
      </c>
      <c r="I358">
        <v>300</v>
      </c>
      <c r="J358">
        <v>106</v>
      </c>
      <c r="K358">
        <v>25.3</v>
      </c>
      <c r="L358" s="1" t="s">
        <v>1165</v>
      </c>
      <c r="M358" s="1" t="s">
        <v>1166</v>
      </c>
      <c r="N358" t="b">
        <v>0</v>
      </c>
      <c r="O358" s="1" t="s">
        <v>838</v>
      </c>
      <c r="P358" s="1">
        <v>25.141937146284</v>
      </c>
      <c r="Q358" s="1" t="s">
        <v>1167</v>
      </c>
      <c r="U358">
        <v>60</v>
      </c>
      <c r="V358">
        <f>S377/5</f>
        <v>25.291188735528703</v>
      </c>
      <c r="X358">
        <f>_xlfn.STDEV.S(P347:P351)</f>
        <v>1.122946844917535</v>
      </c>
    </row>
    <row r="359" spans="1:24" x14ac:dyDescent="0.2">
      <c r="A359">
        <v>3</v>
      </c>
      <c r="B359">
        <v>1.5</v>
      </c>
      <c r="C359">
        <v>128</v>
      </c>
      <c r="D359" t="s">
        <v>449</v>
      </c>
      <c r="E359" t="s">
        <v>407</v>
      </c>
      <c r="F359">
        <v>0.995</v>
      </c>
      <c r="G359">
        <v>6</v>
      </c>
      <c r="H359">
        <v>200</v>
      </c>
      <c r="I359">
        <v>300</v>
      </c>
      <c r="J359">
        <v>111.7</v>
      </c>
      <c r="K359">
        <v>26.34</v>
      </c>
      <c r="L359" s="1" t="s">
        <v>890</v>
      </c>
      <c r="M359" s="1" t="s">
        <v>1168</v>
      </c>
      <c r="N359" t="b">
        <v>0</v>
      </c>
      <c r="O359" s="1" t="s">
        <v>838</v>
      </c>
      <c r="P359" s="1">
        <v>24.863359303957001</v>
      </c>
      <c r="Q359" s="1" t="s">
        <v>1169</v>
      </c>
      <c r="U359">
        <v>0</v>
      </c>
      <c r="V359">
        <f>S382/5</f>
        <v>0.15209973298737689</v>
      </c>
      <c r="X359">
        <f>_xlfn.STDEV.S(P342:P346)</f>
        <v>1.2779910707251945</v>
      </c>
    </row>
    <row r="360" spans="1:24" x14ac:dyDescent="0.2">
      <c r="A360">
        <v>3</v>
      </c>
      <c r="B360">
        <v>1.5</v>
      </c>
      <c r="C360">
        <v>129</v>
      </c>
      <c r="D360" t="s">
        <v>453</v>
      </c>
      <c r="E360" t="s">
        <v>407</v>
      </c>
      <c r="F360">
        <v>0.995</v>
      </c>
      <c r="G360">
        <v>6</v>
      </c>
      <c r="H360">
        <v>200</v>
      </c>
      <c r="I360">
        <v>300</v>
      </c>
      <c r="J360">
        <v>106.9</v>
      </c>
      <c r="K360">
        <v>25.25</v>
      </c>
      <c r="L360" s="1" t="s">
        <v>929</v>
      </c>
      <c r="M360" s="1" t="s">
        <v>1170</v>
      </c>
      <c r="N360" t="b">
        <v>0</v>
      </c>
      <c r="O360" s="1" t="s">
        <v>838</v>
      </c>
      <c r="P360" s="1">
        <v>24.879303309977999</v>
      </c>
      <c r="Q360" s="1" t="s">
        <v>1171</v>
      </c>
    </row>
    <row r="361" spans="1:24" x14ac:dyDescent="0.2">
      <c r="A361">
        <v>3</v>
      </c>
      <c r="B361">
        <v>1.5</v>
      </c>
      <c r="C361">
        <v>130</v>
      </c>
      <c r="D361" t="s">
        <v>457</v>
      </c>
      <c r="E361" t="s">
        <v>407</v>
      </c>
      <c r="F361">
        <v>0.995</v>
      </c>
      <c r="G361">
        <v>6</v>
      </c>
      <c r="H361">
        <v>200</v>
      </c>
      <c r="I361">
        <v>300</v>
      </c>
      <c r="J361">
        <v>101.8</v>
      </c>
      <c r="K361">
        <v>24.22</v>
      </c>
      <c r="L361" s="1" t="s">
        <v>1172</v>
      </c>
      <c r="M361" s="1" t="s">
        <v>1173</v>
      </c>
      <c r="N361" t="b">
        <v>0</v>
      </c>
      <c r="O361" s="1" t="s">
        <v>838</v>
      </c>
      <c r="P361" s="1">
        <v>25.0339950415182</v>
      </c>
      <c r="Q361" s="1" t="s">
        <v>1174</v>
      </c>
    </row>
    <row r="362" spans="1:24" x14ac:dyDescent="0.2">
      <c r="A362">
        <v>3</v>
      </c>
      <c r="B362">
        <v>1.5</v>
      </c>
      <c r="C362">
        <v>131</v>
      </c>
      <c r="D362" t="s">
        <v>460</v>
      </c>
      <c r="E362" t="s">
        <v>407</v>
      </c>
      <c r="F362">
        <v>0.995</v>
      </c>
      <c r="G362">
        <v>6</v>
      </c>
      <c r="H362">
        <v>200</v>
      </c>
      <c r="I362">
        <v>200</v>
      </c>
      <c r="J362">
        <v>112.6</v>
      </c>
      <c r="K362">
        <v>25.27</v>
      </c>
      <c r="L362" s="1" t="s">
        <v>1175</v>
      </c>
      <c r="M362" s="1" t="s">
        <v>1176</v>
      </c>
      <c r="N362" t="b">
        <v>0</v>
      </c>
      <c r="O362" s="1" t="s">
        <v>838</v>
      </c>
      <c r="P362" s="1">
        <v>23.636884311798699</v>
      </c>
      <c r="Q362" s="1" t="s">
        <v>1177</v>
      </c>
      <c r="S362">
        <f>P362+P363+P364+P365+P366</f>
        <v>125.41460713989959</v>
      </c>
    </row>
    <row r="363" spans="1:24" x14ac:dyDescent="0.2">
      <c r="A363">
        <v>3</v>
      </c>
      <c r="B363">
        <v>1.5</v>
      </c>
      <c r="C363">
        <v>132</v>
      </c>
      <c r="D363" t="s">
        <v>464</v>
      </c>
      <c r="E363" t="s">
        <v>407</v>
      </c>
      <c r="F363">
        <v>0.995</v>
      </c>
      <c r="G363">
        <v>6</v>
      </c>
      <c r="H363">
        <v>200</v>
      </c>
      <c r="I363">
        <v>200</v>
      </c>
      <c r="J363">
        <v>100.1</v>
      </c>
      <c r="K363">
        <v>24.16</v>
      </c>
      <c r="L363" s="1" t="s">
        <v>1178</v>
      </c>
      <c r="M363" s="1" t="s">
        <v>1179</v>
      </c>
      <c r="N363" t="b">
        <v>0</v>
      </c>
      <c r="O363" s="1" t="s">
        <v>838</v>
      </c>
      <c r="P363" s="1">
        <v>25.3951604705973</v>
      </c>
      <c r="Q363" s="1" t="s">
        <v>1180</v>
      </c>
    </row>
    <row r="364" spans="1:24" x14ac:dyDescent="0.2">
      <c r="A364">
        <v>3</v>
      </c>
      <c r="B364">
        <v>1.5</v>
      </c>
      <c r="C364">
        <v>133</v>
      </c>
      <c r="D364" t="s">
        <v>468</v>
      </c>
      <c r="E364" t="s">
        <v>407</v>
      </c>
      <c r="F364">
        <v>0.995</v>
      </c>
      <c r="G364">
        <v>6</v>
      </c>
      <c r="H364">
        <v>200</v>
      </c>
      <c r="I364">
        <v>200</v>
      </c>
      <c r="J364">
        <v>101.2</v>
      </c>
      <c r="K364">
        <v>25.93</v>
      </c>
      <c r="L364" s="1" t="s">
        <v>1181</v>
      </c>
      <c r="M364" s="1" t="s">
        <v>1182</v>
      </c>
      <c r="N364" t="b">
        <v>0</v>
      </c>
      <c r="O364" s="1" t="s">
        <v>838</v>
      </c>
      <c r="P364" s="1">
        <v>27.009940617108999</v>
      </c>
      <c r="Q364">
        <v>703.88719618255095</v>
      </c>
    </row>
    <row r="365" spans="1:24" x14ac:dyDescent="0.2">
      <c r="A365">
        <v>3</v>
      </c>
      <c r="B365">
        <v>1.5</v>
      </c>
      <c r="C365">
        <v>134</v>
      </c>
      <c r="D365" t="s">
        <v>471</v>
      </c>
      <c r="E365" t="s">
        <v>407</v>
      </c>
      <c r="F365">
        <v>0.995</v>
      </c>
      <c r="G365">
        <v>6</v>
      </c>
      <c r="H365">
        <v>200</v>
      </c>
      <c r="I365">
        <v>200</v>
      </c>
      <c r="J365">
        <v>106.5</v>
      </c>
      <c r="K365">
        <v>25.05</v>
      </c>
      <c r="L365" s="1" t="s">
        <v>1011</v>
      </c>
      <c r="M365" s="1" t="s">
        <v>1183</v>
      </c>
      <c r="N365" t="b">
        <v>0</v>
      </c>
      <c r="O365" s="1" t="s">
        <v>838</v>
      </c>
      <c r="P365" s="1">
        <v>24.769861825148499</v>
      </c>
      <c r="Q365" s="1" t="s">
        <v>1184</v>
      </c>
    </row>
    <row r="366" spans="1:24" x14ac:dyDescent="0.2">
      <c r="A366">
        <v>3</v>
      </c>
      <c r="B366">
        <v>1.5</v>
      </c>
      <c r="C366">
        <v>135</v>
      </c>
      <c r="D366" t="s">
        <v>475</v>
      </c>
      <c r="E366" t="s">
        <v>407</v>
      </c>
      <c r="F366">
        <v>0.995</v>
      </c>
      <c r="G366">
        <v>6</v>
      </c>
      <c r="H366">
        <v>200</v>
      </c>
      <c r="I366">
        <v>200</v>
      </c>
      <c r="J366">
        <v>89.85</v>
      </c>
      <c r="K366">
        <v>21.09</v>
      </c>
      <c r="L366" s="1" t="s">
        <v>1185</v>
      </c>
      <c r="M366" s="1" t="s">
        <v>1186</v>
      </c>
      <c r="N366" t="b">
        <v>0</v>
      </c>
      <c r="O366" s="1" t="s">
        <v>838</v>
      </c>
      <c r="P366" s="1">
        <v>24.6027599152461</v>
      </c>
      <c r="Q366" s="1" t="s">
        <v>1187</v>
      </c>
    </row>
    <row r="367" spans="1:24" x14ac:dyDescent="0.2">
      <c r="A367">
        <v>3</v>
      </c>
      <c r="B367">
        <v>1.5</v>
      </c>
      <c r="C367">
        <v>136</v>
      </c>
      <c r="D367" t="s">
        <v>478</v>
      </c>
      <c r="E367" t="s">
        <v>407</v>
      </c>
      <c r="F367">
        <v>0.995</v>
      </c>
      <c r="G367">
        <v>6</v>
      </c>
      <c r="H367">
        <v>200</v>
      </c>
      <c r="I367">
        <v>100</v>
      </c>
      <c r="J367">
        <v>103.8</v>
      </c>
      <c r="K367">
        <v>25.07</v>
      </c>
      <c r="L367" s="1" t="s">
        <v>1188</v>
      </c>
      <c r="M367" s="1" t="s">
        <v>1189</v>
      </c>
      <c r="N367" t="b">
        <v>0</v>
      </c>
      <c r="O367" s="1" t="s">
        <v>838</v>
      </c>
      <c r="P367" s="1">
        <v>25.436215440480701</v>
      </c>
      <c r="Q367" s="1" t="s">
        <v>1190</v>
      </c>
      <c r="S367">
        <f>P367+P368+P369+P370+P371</f>
        <v>125.4618297581894</v>
      </c>
    </row>
    <row r="368" spans="1:24" x14ac:dyDescent="0.2">
      <c r="A368">
        <v>3</v>
      </c>
      <c r="B368">
        <v>1.5</v>
      </c>
      <c r="C368">
        <v>137</v>
      </c>
      <c r="D368" t="s">
        <v>480</v>
      </c>
      <c r="E368" t="s">
        <v>407</v>
      </c>
      <c r="F368">
        <v>0.995</v>
      </c>
      <c r="G368">
        <v>6</v>
      </c>
      <c r="H368">
        <v>200</v>
      </c>
      <c r="I368">
        <v>100</v>
      </c>
      <c r="J368">
        <v>101.6</v>
      </c>
      <c r="K368">
        <v>24.21</v>
      </c>
      <c r="L368" s="1" t="s">
        <v>1191</v>
      </c>
      <c r="M368" s="1" t="s">
        <v>1192</v>
      </c>
      <c r="N368" t="b">
        <v>0</v>
      </c>
      <c r="O368" s="1" t="s">
        <v>838</v>
      </c>
      <c r="P368" s="1">
        <v>25.072726146147101</v>
      </c>
      <c r="Q368">
        <v>610.06100502333902</v>
      </c>
    </row>
    <row r="369" spans="1:19" x14ac:dyDescent="0.2">
      <c r="A369">
        <v>3</v>
      </c>
      <c r="B369">
        <v>1.5</v>
      </c>
      <c r="C369">
        <v>138</v>
      </c>
      <c r="D369" t="s">
        <v>484</v>
      </c>
      <c r="E369" t="s">
        <v>407</v>
      </c>
      <c r="F369">
        <v>0.995</v>
      </c>
      <c r="G369">
        <v>6</v>
      </c>
      <c r="H369">
        <v>200</v>
      </c>
      <c r="I369">
        <v>100</v>
      </c>
      <c r="J369">
        <v>107.3</v>
      </c>
      <c r="K369">
        <v>25.72</v>
      </c>
      <c r="L369" s="1" t="s">
        <v>1193</v>
      </c>
      <c r="M369">
        <v>25.918050949633599</v>
      </c>
      <c r="N369" t="b">
        <v>0</v>
      </c>
      <c r="O369" s="1" t="s">
        <v>838</v>
      </c>
      <c r="P369" s="1">
        <v>25.2600064117721</v>
      </c>
      <c r="Q369" s="1" t="s">
        <v>1194</v>
      </c>
    </row>
    <row r="370" spans="1:19" x14ac:dyDescent="0.2">
      <c r="A370">
        <v>3</v>
      </c>
      <c r="B370">
        <v>1.5</v>
      </c>
      <c r="C370">
        <v>139</v>
      </c>
      <c r="D370" t="s">
        <v>487</v>
      </c>
      <c r="E370" t="s">
        <v>407</v>
      </c>
      <c r="F370">
        <v>0.995</v>
      </c>
      <c r="G370">
        <v>6</v>
      </c>
      <c r="H370">
        <v>200</v>
      </c>
      <c r="I370">
        <v>100</v>
      </c>
      <c r="J370">
        <v>107.9</v>
      </c>
      <c r="K370">
        <v>25.05</v>
      </c>
      <c r="L370" s="1" t="s">
        <v>1077</v>
      </c>
      <c r="M370" s="1" t="s">
        <v>1195</v>
      </c>
      <c r="N370" t="b">
        <v>0</v>
      </c>
      <c r="O370" s="1" t="s">
        <v>838</v>
      </c>
      <c r="P370" s="1">
        <v>24.4478899735768</v>
      </c>
      <c r="Q370" s="1" t="s">
        <v>1196</v>
      </c>
    </row>
    <row r="371" spans="1:19" x14ac:dyDescent="0.2">
      <c r="A371">
        <v>3</v>
      </c>
      <c r="B371">
        <v>1.5</v>
      </c>
      <c r="C371">
        <v>140</v>
      </c>
      <c r="D371" t="s">
        <v>491</v>
      </c>
      <c r="E371" t="s">
        <v>407</v>
      </c>
      <c r="F371">
        <v>0.995</v>
      </c>
      <c r="G371">
        <v>6</v>
      </c>
      <c r="H371">
        <v>200</v>
      </c>
      <c r="I371">
        <v>100</v>
      </c>
      <c r="J371">
        <v>104.2</v>
      </c>
      <c r="K371">
        <v>24.98</v>
      </c>
      <c r="L371" s="1" t="s">
        <v>1105</v>
      </c>
      <c r="M371" s="1" t="s">
        <v>1197</v>
      </c>
      <c r="N371" t="b">
        <v>0</v>
      </c>
      <c r="O371" s="1" t="s">
        <v>838</v>
      </c>
      <c r="P371" s="1">
        <v>25.244991786212701</v>
      </c>
      <c r="Q371" s="1" t="s">
        <v>1198</v>
      </c>
    </row>
    <row r="372" spans="1:19" x14ac:dyDescent="0.2">
      <c r="A372">
        <v>3</v>
      </c>
      <c r="B372">
        <v>1.5</v>
      </c>
      <c r="C372">
        <v>141</v>
      </c>
      <c r="D372" t="s">
        <v>494</v>
      </c>
      <c r="E372" t="s">
        <v>407</v>
      </c>
      <c r="F372">
        <v>0.995</v>
      </c>
      <c r="G372">
        <v>6</v>
      </c>
      <c r="H372">
        <v>200</v>
      </c>
      <c r="I372">
        <v>80</v>
      </c>
      <c r="J372">
        <v>107.6</v>
      </c>
      <c r="K372">
        <v>25.65</v>
      </c>
      <c r="L372" s="1" t="s">
        <v>1090</v>
      </c>
      <c r="M372" s="1" t="s">
        <v>1199</v>
      </c>
      <c r="N372" t="b">
        <v>0</v>
      </c>
      <c r="O372" s="1" t="s">
        <v>838</v>
      </c>
      <c r="P372" s="1">
        <v>25.119108678249599</v>
      </c>
      <c r="Q372" s="1" t="s">
        <v>1200</v>
      </c>
      <c r="S372">
        <f>P372+P374+P373+P375+P376</f>
        <v>125.65947772050922</v>
      </c>
    </row>
    <row r="373" spans="1:19" x14ac:dyDescent="0.2">
      <c r="A373">
        <v>3</v>
      </c>
      <c r="B373">
        <v>1.5</v>
      </c>
      <c r="C373">
        <v>142</v>
      </c>
      <c r="D373" t="s">
        <v>498</v>
      </c>
      <c r="E373" t="s">
        <v>407</v>
      </c>
      <c r="F373">
        <v>0.995</v>
      </c>
      <c r="G373">
        <v>6</v>
      </c>
      <c r="H373">
        <v>200</v>
      </c>
      <c r="I373">
        <v>80</v>
      </c>
      <c r="J373">
        <v>105.7</v>
      </c>
      <c r="K373">
        <v>24.96</v>
      </c>
      <c r="L373" s="1" t="s">
        <v>1046</v>
      </c>
      <c r="M373" s="1" t="s">
        <v>1201</v>
      </c>
      <c r="N373" t="b">
        <v>0</v>
      </c>
      <c r="O373" s="1" t="s">
        <v>838</v>
      </c>
      <c r="P373" s="1">
        <v>24.8656138039916</v>
      </c>
      <c r="Q373" s="1" t="s">
        <v>1202</v>
      </c>
    </row>
    <row r="374" spans="1:19" x14ac:dyDescent="0.2">
      <c r="A374">
        <v>3</v>
      </c>
      <c r="B374">
        <v>1.5</v>
      </c>
      <c r="C374">
        <v>143</v>
      </c>
      <c r="D374" t="s">
        <v>502</v>
      </c>
      <c r="E374" t="s">
        <v>407</v>
      </c>
      <c r="F374">
        <v>0.995</v>
      </c>
      <c r="G374">
        <v>6</v>
      </c>
      <c r="H374">
        <v>200</v>
      </c>
      <c r="I374">
        <v>80</v>
      </c>
      <c r="J374">
        <v>109.5</v>
      </c>
      <c r="K374">
        <v>26.05</v>
      </c>
      <c r="L374" s="1" t="s">
        <v>1087</v>
      </c>
      <c r="M374" s="1" t="s">
        <v>1203</v>
      </c>
      <c r="N374" t="b">
        <v>0</v>
      </c>
      <c r="O374" s="1" t="s">
        <v>838</v>
      </c>
      <c r="P374" s="1">
        <v>25.077439507468402</v>
      </c>
      <c r="Q374" s="1" t="s">
        <v>1204</v>
      </c>
    </row>
    <row r="375" spans="1:19" x14ac:dyDescent="0.2">
      <c r="A375">
        <v>3</v>
      </c>
      <c r="B375">
        <v>1.5</v>
      </c>
      <c r="C375">
        <v>144</v>
      </c>
      <c r="D375" t="s">
        <v>505</v>
      </c>
      <c r="E375" t="s">
        <v>407</v>
      </c>
      <c r="F375">
        <v>0.995</v>
      </c>
      <c r="G375">
        <v>6</v>
      </c>
      <c r="H375">
        <v>200</v>
      </c>
      <c r="I375">
        <v>80</v>
      </c>
      <c r="J375">
        <v>101.7</v>
      </c>
      <c r="K375">
        <v>24.87</v>
      </c>
      <c r="L375" s="1" t="s">
        <v>1205</v>
      </c>
      <c r="M375" s="1" t="s">
        <v>1206</v>
      </c>
      <c r="N375" t="b">
        <v>0</v>
      </c>
      <c r="O375" s="1" t="s">
        <v>838</v>
      </c>
      <c r="P375" s="1">
        <v>25.749799792680101</v>
      </c>
      <c r="Q375" s="1" t="s">
        <v>1207</v>
      </c>
    </row>
    <row r="376" spans="1:19" x14ac:dyDescent="0.2">
      <c r="A376">
        <v>3</v>
      </c>
      <c r="B376">
        <v>1.5</v>
      </c>
      <c r="C376">
        <v>145</v>
      </c>
      <c r="D376" t="s">
        <v>509</v>
      </c>
      <c r="E376" t="s">
        <v>407</v>
      </c>
      <c r="F376">
        <v>0.995</v>
      </c>
      <c r="G376">
        <v>6</v>
      </c>
      <c r="H376">
        <v>200</v>
      </c>
      <c r="I376">
        <v>80</v>
      </c>
      <c r="J376">
        <v>104.3</v>
      </c>
      <c r="K376">
        <v>24.62</v>
      </c>
      <c r="L376" s="1" t="s">
        <v>983</v>
      </c>
      <c r="M376" s="1" t="s">
        <v>1208</v>
      </c>
      <c r="N376" t="b">
        <v>0</v>
      </c>
      <c r="O376" s="1" t="s">
        <v>838</v>
      </c>
      <c r="P376" s="1">
        <v>24.8475159381195</v>
      </c>
      <c r="Q376" s="1" t="s">
        <v>1209</v>
      </c>
    </row>
    <row r="377" spans="1:19" x14ac:dyDescent="0.2">
      <c r="A377">
        <v>3</v>
      </c>
      <c r="B377">
        <v>1.5</v>
      </c>
      <c r="C377">
        <v>146</v>
      </c>
      <c r="D377" t="s">
        <v>512</v>
      </c>
      <c r="E377" t="s">
        <v>407</v>
      </c>
      <c r="F377">
        <v>0.995</v>
      </c>
      <c r="G377">
        <v>6</v>
      </c>
      <c r="H377">
        <v>200</v>
      </c>
      <c r="I377">
        <v>60</v>
      </c>
      <c r="J377">
        <v>106.9</v>
      </c>
      <c r="K377">
        <v>25.62</v>
      </c>
      <c r="L377" s="1" t="s">
        <v>929</v>
      </c>
      <c r="M377" s="1" t="s">
        <v>1210</v>
      </c>
      <c r="N377" t="b">
        <v>0</v>
      </c>
      <c r="O377" s="1" t="s">
        <v>838</v>
      </c>
      <c r="P377" s="1">
        <v>25.253550098772202</v>
      </c>
      <c r="Q377" s="1" t="s">
        <v>1211</v>
      </c>
      <c r="S377">
        <f>P377+P378+P379+P380+P381</f>
        <v>126.45594367764352</v>
      </c>
    </row>
    <row r="378" spans="1:19" x14ac:dyDescent="0.2">
      <c r="A378">
        <v>3</v>
      </c>
      <c r="B378">
        <v>1.5</v>
      </c>
      <c r="C378">
        <v>147</v>
      </c>
      <c r="D378" t="s">
        <v>516</v>
      </c>
      <c r="E378" t="s">
        <v>407</v>
      </c>
      <c r="F378">
        <v>0.995</v>
      </c>
      <c r="G378">
        <v>6</v>
      </c>
      <c r="H378">
        <v>200</v>
      </c>
      <c r="I378">
        <v>60</v>
      </c>
      <c r="J378">
        <v>105</v>
      </c>
      <c r="K378">
        <v>24.83</v>
      </c>
      <c r="L378" s="1" t="s">
        <v>1212</v>
      </c>
      <c r="M378" s="1" t="s">
        <v>1213</v>
      </c>
      <c r="N378" t="b">
        <v>0</v>
      </c>
      <c r="O378" s="1" t="s">
        <v>838</v>
      </c>
      <c r="P378" s="1">
        <v>24.8978179053065</v>
      </c>
      <c r="Q378" s="1" t="s">
        <v>1214</v>
      </c>
    </row>
    <row r="379" spans="1:19" x14ac:dyDescent="0.2">
      <c r="A379">
        <v>3</v>
      </c>
      <c r="B379">
        <v>1.5</v>
      </c>
      <c r="C379">
        <v>148</v>
      </c>
      <c r="D379" t="s">
        <v>520</v>
      </c>
      <c r="E379" t="s">
        <v>407</v>
      </c>
      <c r="F379">
        <v>0.995</v>
      </c>
      <c r="G379">
        <v>6</v>
      </c>
      <c r="H379">
        <v>200</v>
      </c>
      <c r="I379">
        <v>60</v>
      </c>
      <c r="J379">
        <v>102.9</v>
      </c>
      <c r="K379">
        <v>25.38</v>
      </c>
      <c r="L379" s="1" t="s">
        <v>1215</v>
      </c>
      <c r="M379" s="1" t="s">
        <v>1216</v>
      </c>
      <c r="N379" t="b">
        <v>0</v>
      </c>
      <c r="O379" s="1" t="s">
        <v>838</v>
      </c>
      <c r="P379" s="1">
        <v>25.9848833584917</v>
      </c>
      <c r="Q379" s="1" t="s">
        <v>1217</v>
      </c>
    </row>
    <row r="380" spans="1:19" x14ac:dyDescent="0.2">
      <c r="A380">
        <v>3</v>
      </c>
      <c r="B380">
        <v>1.5</v>
      </c>
      <c r="C380">
        <v>149</v>
      </c>
      <c r="D380" t="s">
        <v>524</v>
      </c>
      <c r="E380" t="s">
        <v>407</v>
      </c>
      <c r="F380">
        <v>0.995</v>
      </c>
      <c r="G380">
        <v>6</v>
      </c>
      <c r="H380">
        <v>200</v>
      </c>
      <c r="I380">
        <v>60</v>
      </c>
      <c r="J380">
        <v>98.52</v>
      </c>
      <c r="K380">
        <v>24.39</v>
      </c>
      <c r="L380" s="1" t="s">
        <v>1218</v>
      </c>
      <c r="M380" s="1" t="s">
        <v>1219</v>
      </c>
      <c r="N380" t="b">
        <v>0</v>
      </c>
      <c r="O380" s="1" t="s">
        <v>838</v>
      </c>
      <c r="P380" s="1">
        <v>26.055708874726701</v>
      </c>
      <c r="Q380" s="1" t="s">
        <v>1220</v>
      </c>
    </row>
    <row r="381" spans="1:19" x14ac:dyDescent="0.2">
      <c r="A381">
        <v>3</v>
      </c>
      <c r="B381">
        <v>1.5</v>
      </c>
      <c r="C381">
        <v>150</v>
      </c>
      <c r="D381" t="s">
        <v>527</v>
      </c>
      <c r="E381" t="s">
        <v>407</v>
      </c>
      <c r="F381">
        <v>0.995</v>
      </c>
      <c r="G381">
        <v>6</v>
      </c>
      <c r="H381">
        <v>200</v>
      </c>
      <c r="I381">
        <v>60</v>
      </c>
      <c r="J381">
        <v>102.4</v>
      </c>
      <c r="K381">
        <v>23.63</v>
      </c>
      <c r="L381" s="1" t="s">
        <v>1221</v>
      </c>
      <c r="M381" s="1" t="s">
        <v>1222</v>
      </c>
      <c r="N381" t="b">
        <v>0</v>
      </c>
      <c r="O381" s="1" t="s">
        <v>838</v>
      </c>
      <c r="P381" s="1">
        <v>24.263983440346401</v>
      </c>
      <c r="Q381" s="1" t="s">
        <v>1223</v>
      </c>
    </row>
    <row r="382" spans="1:19" x14ac:dyDescent="0.2">
      <c r="A382">
        <v>4</v>
      </c>
      <c r="B382">
        <v>1.5</v>
      </c>
      <c r="C382">
        <v>151</v>
      </c>
      <c r="D382" t="s">
        <v>530</v>
      </c>
      <c r="E382" t="s">
        <v>407</v>
      </c>
      <c r="F382">
        <v>0.995</v>
      </c>
      <c r="G382">
        <v>6</v>
      </c>
      <c r="H382">
        <v>200</v>
      </c>
      <c r="I382">
        <v>0</v>
      </c>
      <c r="J382">
        <v>109</v>
      </c>
      <c r="K382">
        <v>0.74129999999999996</v>
      </c>
      <c r="L382" s="1" t="s">
        <v>1224</v>
      </c>
      <c r="M382" s="1" t="s">
        <v>1225</v>
      </c>
      <c r="N382" t="b">
        <v>1</v>
      </c>
      <c r="O382" s="1" t="s">
        <v>1226</v>
      </c>
      <c r="P382">
        <v>7.8984002203781406E-2</v>
      </c>
      <c r="Q382">
        <v>5.88450661644856E-2</v>
      </c>
      <c r="S382">
        <f>P382+P383+P384+P385+P386</f>
        <v>0.76049866493688445</v>
      </c>
    </row>
    <row r="383" spans="1:19" x14ac:dyDescent="0.2">
      <c r="A383">
        <v>4</v>
      </c>
      <c r="B383">
        <v>1.5</v>
      </c>
      <c r="C383">
        <v>152</v>
      </c>
      <c r="D383" t="s">
        <v>535</v>
      </c>
      <c r="E383" t="s">
        <v>407</v>
      </c>
      <c r="F383">
        <v>0.995</v>
      </c>
      <c r="G383">
        <v>6</v>
      </c>
      <c r="H383">
        <v>200</v>
      </c>
      <c r="I383">
        <v>0</v>
      </c>
      <c r="J383">
        <v>107.2</v>
      </c>
      <c r="K383">
        <v>0.64700000000000002</v>
      </c>
      <c r="L383" s="1" t="s">
        <v>1227</v>
      </c>
      <c r="M383" s="1" t="s">
        <v>1228</v>
      </c>
      <c r="N383" t="b">
        <v>1</v>
      </c>
      <c r="O383" s="1" t="s">
        <v>1226</v>
      </c>
      <c r="P383">
        <v>9.7110081581060093E-3</v>
      </c>
      <c r="Q383">
        <v>-6.3145952545674297E-3</v>
      </c>
    </row>
    <row r="384" spans="1:19" x14ac:dyDescent="0.2">
      <c r="A384">
        <v>4</v>
      </c>
      <c r="B384">
        <v>1.5</v>
      </c>
      <c r="C384">
        <v>153</v>
      </c>
      <c r="D384" t="s">
        <v>539</v>
      </c>
      <c r="E384" t="s">
        <v>407</v>
      </c>
      <c r="F384">
        <v>0.995</v>
      </c>
      <c r="G384">
        <v>6</v>
      </c>
      <c r="H384">
        <v>200</v>
      </c>
      <c r="I384">
        <v>0</v>
      </c>
      <c r="J384">
        <v>104</v>
      </c>
      <c r="K384">
        <v>0.8861</v>
      </c>
      <c r="L384" s="1" t="s">
        <v>1229</v>
      </c>
      <c r="M384">
        <v>0.87201030134060198</v>
      </c>
      <c r="N384" t="b">
        <v>1</v>
      </c>
      <c r="O384" s="1" t="s">
        <v>1226</v>
      </c>
      <c r="P384" s="1">
        <v>0.22528762202658201</v>
      </c>
      <c r="Q384" s="1" t="s">
        <v>1230</v>
      </c>
    </row>
    <row r="385" spans="1:26" x14ac:dyDescent="0.2">
      <c r="A385">
        <v>4</v>
      </c>
      <c r="B385">
        <v>1.5</v>
      </c>
      <c r="C385">
        <v>154</v>
      </c>
      <c r="D385" t="s">
        <v>543</v>
      </c>
      <c r="E385" t="s">
        <v>407</v>
      </c>
      <c r="F385">
        <v>0.995</v>
      </c>
      <c r="G385">
        <v>6</v>
      </c>
      <c r="H385">
        <v>200</v>
      </c>
      <c r="I385">
        <v>0</v>
      </c>
      <c r="J385">
        <v>98.57</v>
      </c>
      <c r="K385">
        <v>0.94910000000000005</v>
      </c>
      <c r="L385" s="1" t="s">
        <v>1231</v>
      </c>
      <c r="M385" s="1" t="s">
        <v>1232</v>
      </c>
      <c r="N385" t="b">
        <v>1</v>
      </c>
      <c r="O385" s="1" t="s">
        <v>1226</v>
      </c>
      <c r="P385" s="1">
        <v>0.30315027668066802</v>
      </c>
      <c r="Q385" s="1" t="s">
        <v>1233</v>
      </c>
    </row>
    <row r="386" spans="1:26" x14ac:dyDescent="0.2">
      <c r="A386">
        <v>4</v>
      </c>
      <c r="B386">
        <v>1.5</v>
      </c>
      <c r="C386">
        <v>155</v>
      </c>
      <c r="D386" t="s">
        <v>547</v>
      </c>
      <c r="E386" t="s">
        <v>407</v>
      </c>
      <c r="F386">
        <v>0.995</v>
      </c>
      <c r="G386">
        <v>6</v>
      </c>
      <c r="H386">
        <v>200</v>
      </c>
      <c r="I386">
        <v>0</v>
      </c>
      <c r="J386">
        <v>100.4</v>
      </c>
      <c r="K386">
        <v>0.79779999999999995</v>
      </c>
      <c r="L386" s="1" t="s">
        <v>1234</v>
      </c>
      <c r="M386" s="1" t="s">
        <v>1235</v>
      </c>
      <c r="N386" t="b">
        <v>1</v>
      </c>
      <c r="O386" s="1" t="s">
        <v>1226</v>
      </c>
      <c r="P386" s="1">
        <v>0.143365755867747</v>
      </c>
      <c r="Q386" s="1" t="s">
        <v>1236</v>
      </c>
    </row>
    <row r="387" spans="1:26" x14ac:dyDescent="0.2">
      <c r="A387">
        <v>4</v>
      </c>
      <c r="B387">
        <v>1.5</v>
      </c>
      <c r="C387">
        <v>156</v>
      </c>
      <c r="D387" t="s">
        <v>550</v>
      </c>
      <c r="E387" t="s">
        <v>407</v>
      </c>
      <c r="F387">
        <v>0.995</v>
      </c>
      <c r="G387">
        <v>10</v>
      </c>
      <c r="H387">
        <v>200</v>
      </c>
      <c r="I387">
        <v>2400</v>
      </c>
      <c r="J387">
        <v>103.6</v>
      </c>
      <c r="K387">
        <v>24.79</v>
      </c>
      <c r="L387" s="1" t="s">
        <v>1237</v>
      </c>
      <c r="M387" s="1" t="s">
        <v>1238</v>
      </c>
      <c r="N387" t="b">
        <v>0</v>
      </c>
      <c r="O387" s="1" t="s">
        <v>1226</v>
      </c>
      <c r="P387" s="1">
        <v>23.841003903469399</v>
      </c>
      <c r="Q387" s="1" t="s">
        <v>1239</v>
      </c>
      <c r="S387">
        <f>P387+P388+P389+P390+P391</f>
        <v>120.40057129485831</v>
      </c>
    </row>
    <row r="388" spans="1:26" x14ac:dyDescent="0.2">
      <c r="A388">
        <v>4</v>
      </c>
      <c r="B388">
        <v>1.5</v>
      </c>
      <c r="C388">
        <v>157</v>
      </c>
      <c r="D388" t="s">
        <v>553</v>
      </c>
      <c r="E388" t="s">
        <v>407</v>
      </c>
      <c r="F388">
        <v>0.995</v>
      </c>
      <c r="G388">
        <v>10</v>
      </c>
      <c r="H388">
        <v>200</v>
      </c>
      <c r="I388">
        <v>2400</v>
      </c>
      <c r="J388">
        <v>100.5</v>
      </c>
      <c r="K388">
        <v>23.91</v>
      </c>
      <c r="L388" s="1" t="s">
        <v>1240</v>
      </c>
      <c r="M388" s="1" t="s">
        <v>1241</v>
      </c>
      <c r="N388" t="b">
        <v>0</v>
      </c>
      <c r="O388" s="1" t="s">
        <v>1226</v>
      </c>
      <c r="P388" s="1">
        <v>23.681912657637401</v>
      </c>
      <c r="Q388" s="1" t="s">
        <v>1242</v>
      </c>
    </row>
    <row r="389" spans="1:26" x14ac:dyDescent="0.2">
      <c r="A389">
        <v>4</v>
      </c>
      <c r="B389">
        <v>1.5</v>
      </c>
      <c r="C389">
        <v>158</v>
      </c>
      <c r="D389" t="s">
        <v>556</v>
      </c>
      <c r="E389" t="s">
        <v>407</v>
      </c>
      <c r="F389">
        <v>0.995</v>
      </c>
      <c r="G389">
        <v>10</v>
      </c>
      <c r="H389">
        <v>200</v>
      </c>
      <c r="I389">
        <v>2400</v>
      </c>
      <c r="J389">
        <v>104.9</v>
      </c>
      <c r="K389">
        <v>25.92</v>
      </c>
      <c r="L389" s="1" t="s">
        <v>1243</v>
      </c>
      <c r="M389" s="1" t="s">
        <v>1244</v>
      </c>
      <c r="N389" t="b">
        <v>0</v>
      </c>
      <c r="O389" s="1" t="s">
        <v>1226</v>
      </c>
      <c r="P389" s="1">
        <v>24.647342913014199</v>
      </c>
      <c r="Q389" s="1" t="s">
        <v>1245</v>
      </c>
    </row>
    <row r="390" spans="1:26" x14ac:dyDescent="0.2">
      <c r="A390">
        <v>4</v>
      </c>
      <c r="B390">
        <v>1.5</v>
      </c>
      <c r="C390">
        <v>159</v>
      </c>
      <c r="D390" t="s">
        <v>559</v>
      </c>
      <c r="E390" t="s">
        <v>407</v>
      </c>
      <c r="F390">
        <v>0.995</v>
      </c>
      <c r="G390">
        <v>10</v>
      </c>
      <c r="H390">
        <v>200</v>
      </c>
      <c r="I390">
        <v>2400</v>
      </c>
      <c r="J390">
        <v>100.8</v>
      </c>
      <c r="K390">
        <v>24.83</v>
      </c>
      <c r="L390" s="1" t="s">
        <v>1246</v>
      </c>
      <c r="M390" s="1" t="s">
        <v>1247</v>
      </c>
      <c r="N390" t="b">
        <v>0</v>
      </c>
      <c r="O390" s="1" t="s">
        <v>1226</v>
      </c>
      <c r="P390" s="1">
        <v>24.545444768055301</v>
      </c>
      <c r="Q390" s="1" t="s">
        <v>1248</v>
      </c>
    </row>
    <row r="391" spans="1:26" x14ac:dyDescent="0.2">
      <c r="A391">
        <v>4</v>
      </c>
      <c r="B391">
        <v>1.5</v>
      </c>
      <c r="C391">
        <v>160</v>
      </c>
      <c r="D391" t="s">
        <v>563</v>
      </c>
      <c r="E391" t="s">
        <v>407</v>
      </c>
      <c r="F391">
        <v>0.995</v>
      </c>
      <c r="G391">
        <v>10</v>
      </c>
      <c r="H391">
        <v>200</v>
      </c>
      <c r="I391">
        <v>2400</v>
      </c>
      <c r="J391">
        <v>102.6</v>
      </c>
      <c r="K391">
        <v>24.4</v>
      </c>
      <c r="L391" s="1" t="s">
        <v>1249</v>
      </c>
      <c r="M391" s="1" t="s">
        <v>1250</v>
      </c>
      <c r="N391" t="b">
        <v>0</v>
      </c>
      <c r="O391" s="1" t="s">
        <v>1226</v>
      </c>
      <c r="P391" s="1">
        <v>23.684867052682002</v>
      </c>
      <c r="Q391">
        <v>580.81483023662599</v>
      </c>
    </row>
    <row r="392" spans="1:26" x14ac:dyDescent="0.2">
      <c r="A392">
        <v>4</v>
      </c>
      <c r="B392">
        <v>1.5</v>
      </c>
      <c r="C392">
        <v>161</v>
      </c>
      <c r="D392" t="s">
        <v>566</v>
      </c>
      <c r="E392" t="s">
        <v>407</v>
      </c>
      <c r="F392">
        <v>0.995</v>
      </c>
      <c r="G392">
        <v>10</v>
      </c>
      <c r="H392">
        <v>200</v>
      </c>
      <c r="I392">
        <v>2000</v>
      </c>
      <c r="J392">
        <v>100.8</v>
      </c>
      <c r="K392">
        <v>23.26</v>
      </c>
      <c r="L392" s="1" t="s">
        <v>1246</v>
      </c>
      <c r="M392" s="1" t="s">
        <v>1251</v>
      </c>
      <c r="N392" t="b">
        <v>0</v>
      </c>
      <c r="O392" s="1" t="s">
        <v>1226</v>
      </c>
      <c r="P392" s="1">
        <v>22.951243681027702</v>
      </c>
      <c r="Q392">
        <v>536.52857087508096</v>
      </c>
      <c r="S392">
        <f>P392+P393+P394+P395+P396</f>
        <v>118.85751155326651</v>
      </c>
    </row>
    <row r="393" spans="1:26" x14ac:dyDescent="0.2">
      <c r="A393">
        <v>4</v>
      </c>
      <c r="B393">
        <v>1.5</v>
      </c>
      <c r="C393">
        <v>162</v>
      </c>
      <c r="D393" t="s">
        <v>570</v>
      </c>
      <c r="E393" t="s">
        <v>407</v>
      </c>
      <c r="F393">
        <v>0.995</v>
      </c>
      <c r="G393">
        <v>10</v>
      </c>
      <c r="H393">
        <v>200</v>
      </c>
      <c r="I393">
        <v>2000</v>
      </c>
      <c r="J393">
        <v>108.2</v>
      </c>
      <c r="K393">
        <v>26.02</v>
      </c>
      <c r="L393" s="1" t="s">
        <v>1252</v>
      </c>
      <c r="M393" s="1" t="s">
        <v>1253</v>
      </c>
      <c r="N393" t="b">
        <v>0</v>
      </c>
      <c r="O393" s="1" t="s">
        <v>1226</v>
      </c>
      <c r="P393" s="1">
        <v>23.988538852828501</v>
      </c>
      <c r="Q393" s="1" t="s">
        <v>1254</v>
      </c>
    </row>
    <row r="394" spans="1:26" x14ac:dyDescent="0.2">
      <c r="A394">
        <v>4</v>
      </c>
      <c r="B394">
        <v>1.5</v>
      </c>
      <c r="C394">
        <v>163</v>
      </c>
      <c r="D394" t="s">
        <v>573</v>
      </c>
      <c r="E394" t="s">
        <v>407</v>
      </c>
      <c r="F394">
        <v>0.995</v>
      </c>
      <c r="G394">
        <v>10</v>
      </c>
      <c r="H394">
        <v>200</v>
      </c>
      <c r="I394">
        <v>2000</v>
      </c>
      <c r="J394">
        <v>103</v>
      </c>
      <c r="K394">
        <v>24.42</v>
      </c>
      <c r="L394" s="1" t="s">
        <v>1255</v>
      </c>
      <c r="M394" s="1" t="s">
        <v>1256</v>
      </c>
      <c r="N394" t="b">
        <v>0</v>
      </c>
      <c r="O394" s="1" t="s">
        <v>1226</v>
      </c>
      <c r="P394" s="1">
        <v>23.6125465464055</v>
      </c>
      <c r="Q394" s="1" t="s">
        <v>1257</v>
      </c>
    </row>
    <row r="395" spans="1:26" x14ac:dyDescent="0.2">
      <c r="A395">
        <v>4</v>
      </c>
      <c r="B395">
        <v>1.5</v>
      </c>
      <c r="C395">
        <v>164</v>
      </c>
      <c r="D395" t="s">
        <v>575</v>
      </c>
      <c r="E395" t="s">
        <v>407</v>
      </c>
      <c r="F395">
        <v>0.995</v>
      </c>
      <c r="G395">
        <v>10</v>
      </c>
      <c r="H395">
        <v>200</v>
      </c>
      <c r="I395">
        <v>2000</v>
      </c>
      <c r="J395">
        <v>99.53</v>
      </c>
      <c r="K395">
        <v>24.32</v>
      </c>
      <c r="L395" s="1" t="s">
        <v>1258</v>
      </c>
      <c r="M395" s="1" t="s">
        <v>1259</v>
      </c>
      <c r="N395" t="b">
        <v>0</v>
      </c>
      <c r="O395" s="1" t="s">
        <v>1226</v>
      </c>
      <c r="P395" s="1">
        <v>24.3349126436704</v>
      </c>
      <c r="Q395" s="1" t="s">
        <v>1260</v>
      </c>
      <c r="W395">
        <v>2400</v>
      </c>
      <c r="X395">
        <f>S387/5</f>
        <v>24.080114258971662</v>
      </c>
      <c r="Z395">
        <f>_xlfn.STDEV.S(P417:P421)</f>
        <v>2.9438635956496553E-2</v>
      </c>
    </row>
    <row r="396" spans="1:26" x14ac:dyDescent="0.2">
      <c r="A396">
        <v>4</v>
      </c>
      <c r="B396">
        <v>1.5</v>
      </c>
      <c r="C396">
        <v>165</v>
      </c>
      <c r="D396" t="s">
        <v>578</v>
      </c>
      <c r="E396" t="s">
        <v>407</v>
      </c>
      <c r="F396">
        <v>0.995</v>
      </c>
      <c r="G396">
        <v>10</v>
      </c>
      <c r="H396">
        <v>200</v>
      </c>
      <c r="I396">
        <v>2000</v>
      </c>
      <c r="J396">
        <v>103</v>
      </c>
      <c r="K396">
        <v>24.78</v>
      </c>
      <c r="L396" s="1" t="s">
        <v>1255</v>
      </c>
      <c r="M396" s="1" t="s">
        <v>1261</v>
      </c>
      <c r="N396" t="b">
        <v>0</v>
      </c>
      <c r="O396" s="1" t="s">
        <v>1226</v>
      </c>
      <c r="P396" s="1">
        <v>23.970269829334399</v>
      </c>
      <c r="Q396" s="1" t="s">
        <v>1262</v>
      </c>
      <c r="W396">
        <v>2000</v>
      </c>
      <c r="X396">
        <f>S392/5</f>
        <v>23.7715023106533</v>
      </c>
      <c r="Z396">
        <f>_xlfn.STDEV.S(P412:P416)</f>
        <v>0.72951389235949948</v>
      </c>
    </row>
    <row r="397" spans="1:26" x14ac:dyDescent="0.2">
      <c r="A397">
        <v>4</v>
      </c>
      <c r="B397">
        <v>1.5</v>
      </c>
      <c r="C397">
        <v>166</v>
      </c>
      <c r="D397" t="s">
        <v>1263</v>
      </c>
      <c r="E397" t="s">
        <v>407</v>
      </c>
      <c r="F397">
        <v>0.995</v>
      </c>
      <c r="G397">
        <v>10</v>
      </c>
      <c r="H397">
        <v>200</v>
      </c>
      <c r="I397">
        <v>1600</v>
      </c>
      <c r="J397">
        <v>102.8</v>
      </c>
      <c r="K397">
        <v>24.18</v>
      </c>
      <c r="L397" s="1" t="s">
        <v>1264</v>
      </c>
      <c r="M397" s="1" t="s">
        <v>1265</v>
      </c>
      <c r="N397" t="b">
        <v>0</v>
      </c>
      <c r="O397" s="1" t="s">
        <v>1226</v>
      </c>
      <c r="P397" s="1">
        <v>23.419645176917498</v>
      </c>
      <c r="Q397">
        <v>569.13268379685098</v>
      </c>
      <c r="S397">
        <f>P397+P398+P399+P400+P401</f>
        <v>117.74392822349921</v>
      </c>
      <c r="W397">
        <v>1600</v>
      </c>
      <c r="X397">
        <f>S397/5</f>
        <v>23.548785644699841</v>
      </c>
      <c r="Z397">
        <f>_xlfn.STDEV.S(P407:P411)</f>
        <v>0.78338416366524644</v>
      </c>
    </row>
    <row r="398" spans="1:26" x14ac:dyDescent="0.2">
      <c r="A398">
        <v>4</v>
      </c>
      <c r="B398">
        <v>1.5</v>
      </c>
      <c r="C398">
        <v>167</v>
      </c>
      <c r="D398" t="s">
        <v>1266</v>
      </c>
      <c r="E398" t="s">
        <v>407</v>
      </c>
      <c r="F398">
        <v>0.995</v>
      </c>
      <c r="G398">
        <v>10</v>
      </c>
      <c r="H398">
        <v>200</v>
      </c>
      <c r="I398">
        <v>1600</v>
      </c>
      <c r="J398">
        <v>103</v>
      </c>
      <c r="K398">
        <v>22.64</v>
      </c>
      <c r="L398" s="1" t="s">
        <v>1255</v>
      </c>
      <c r="M398" s="1" t="s">
        <v>1267</v>
      </c>
      <c r="N398" t="b">
        <v>0</v>
      </c>
      <c r="O398" s="1" t="s">
        <v>1226</v>
      </c>
      <c r="P398" s="1">
        <v>21.8438036474796</v>
      </c>
      <c r="Q398" s="1" t="s">
        <v>1268</v>
      </c>
      <c r="W398">
        <v>1200</v>
      </c>
      <c r="X398">
        <f>S402/5</f>
        <v>23.852739970258519</v>
      </c>
      <c r="Z398">
        <f>_xlfn.STDEV.S(P402:P406)</f>
        <v>0.96128418218881895</v>
      </c>
    </row>
    <row r="399" spans="1:26" x14ac:dyDescent="0.2">
      <c r="A399">
        <v>4</v>
      </c>
      <c r="B399">
        <v>1.5</v>
      </c>
      <c r="C399">
        <v>168</v>
      </c>
      <c r="D399" t="s">
        <v>1269</v>
      </c>
      <c r="E399" t="s">
        <v>407</v>
      </c>
      <c r="F399">
        <v>0.995</v>
      </c>
      <c r="G399">
        <v>10</v>
      </c>
      <c r="H399">
        <v>200</v>
      </c>
      <c r="I399">
        <v>1600</v>
      </c>
      <c r="J399">
        <v>104.7</v>
      </c>
      <c r="K399">
        <v>25.21</v>
      </c>
      <c r="L399" s="1" t="s">
        <v>1270</v>
      </c>
      <c r="M399" s="1" t="s">
        <v>1271</v>
      </c>
      <c r="N399" t="b">
        <v>0</v>
      </c>
      <c r="O399" s="1" t="s">
        <v>1226</v>
      </c>
      <c r="P399" s="1">
        <v>24.000504161313199</v>
      </c>
      <c r="Q399" s="1" t="s">
        <v>1272</v>
      </c>
      <c r="W399">
        <v>800</v>
      </c>
      <c r="X399">
        <f>S407/5</f>
        <v>24.174318431040899</v>
      </c>
      <c r="Z399">
        <f>_xlfn.STDEV.S(P397:P401)</f>
        <v>1.0626449146962045</v>
      </c>
    </row>
    <row r="400" spans="1:26" x14ac:dyDescent="0.2">
      <c r="A400">
        <v>4</v>
      </c>
      <c r="B400">
        <v>1.5</v>
      </c>
      <c r="C400">
        <v>169</v>
      </c>
      <c r="D400" t="s">
        <v>582</v>
      </c>
      <c r="E400" t="s">
        <v>407</v>
      </c>
      <c r="F400">
        <v>0.995</v>
      </c>
      <c r="G400">
        <v>10</v>
      </c>
      <c r="H400">
        <v>200</v>
      </c>
      <c r="I400">
        <v>1600</v>
      </c>
      <c r="J400">
        <v>99.9</v>
      </c>
      <c r="K400">
        <v>24.77</v>
      </c>
      <c r="L400" s="1" t="s">
        <v>1273</v>
      </c>
      <c r="M400" s="1" t="s">
        <v>1274</v>
      </c>
      <c r="N400" t="b">
        <v>0</v>
      </c>
      <c r="O400" s="1" t="s">
        <v>1226</v>
      </c>
      <c r="P400" s="1">
        <v>24.705630202397199</v>
      </c>
      <c r="Q400">
        <v>615.03362825465194</v>
      </c>
      <c r="W400">
        <v>400</v>
      </c>
      <c r="X400">
        <f>S412/5</f>
        <v>23.669748401147558</v>
      </c>
      <c r="Z400">
        <f>_xlfn.STDEV.S(P392:P396)</f>
        <v>0.52491326543899486</v>
      </c>
    </row>
    <row r="401" spans="1:26" x14ac:dyDescent="0.2">
      <c r="A401">
        <v>4</v>
      </c>
      <c r="B401">
        <v>1.5</v>
      </c>
      <c r="C401">
        <v>170</v>
      </c>
      <c r="D401" t="s">
        <v>585</v>
      </c>
      <c r="E401" t="s">
        <v>407</v>
      </c>
      <c r="F401">
        <v>0.995</v>
      </c>
      <c r="G401">
        <v>10</v>
      </c>
      <c r="H401">
        <v>200</v>
      </c>
      <c r="I401">
        <v>1600</v>
      </c>
      <c r="J401">
        <v>102</v>
      </c>
      <c r="K401">
        <v>24.35</v>
      </c>
      <c r="L401" s="1" t="s">
        <v>1275</v>
      </c>
      <c r="M401" s="1" t="s">
        <v>1276</v>
      </c>
      <c r="N401" t="b">
        <v>0</v>
      </c>
      <c r="O401" s="1" t="s">
        <v>1226</v>
      </c>
      <c r="P401" s="1">
        <v>23.774345035391701</v>
      </c>
      <c r="Q401" s="1" t="s">
        <v>1277</v>
      </c>
      <c r="W401">
        <v>0</v>
      </c>
      <c r="X401">
        <f>S417/5</f>
        <v>0.10047643456579418</v>
      </c>
      <c r="Z401">
        <f>_xlfn.STDEV.S(P387:P391)</f>
        <v>0.47703235219016243</v>
      </c>
    </row>
    <row r="402" spans="1:26" x14ac:dyDescent="0.2">
      <c r="A402">
        <v>4</v>
      </c>
      <c r="B402">
        <v>1.5</v>
      </c>
      <c r="C402">
        <v>171</v>
      </c>
      <c r="D402" t="s">
        <v>589</v>
      </c>
      <c r="E402" t="s">
        <v>407</v>
      </c>
      <c r="F402">
        <v>0.995</v>
      </c>
      <c r="G402">
        <v>10</v>
      </c>
      <c r="H402">
        <v>200</v>
      </c>
      <c r="I402">
        <v>1200</v>
      </c>
      <c r="J402">
        <v>101.6</v>
      </c>
      <c r="K402">
        <v>23.92</v>
      </c>
      <c r="L402" s="1" t="s">
        <v>1278</v>
      </c>
      <c r="M402" s="1" t="s">
        <v>1279</v>
      </c>
      <c r="N402" t="b">
        <v>0</v>
      </c>
      <c r="O402" s="1" t="s">
        <v>1226</v>
      </c>
      <c r="P402" s="1">
        <v>23.434983352369699</v>
      </c>
      <c r="Q402" s="1" t="s">
        <v>1280</v>
      </c>
      <c r="S402">
        <f>P402+P404+P403+P405+P406</f>
        <v>119.26369985129259</v>
      </c>
    </row>
    <row r="403" spans="1:26" x14ac:dyDescent="0.2">
      <c r="A403">
        <v>4</v>
      </c>
      <c r="B403">
        <v>1.5</v>
      </c>
      <c r="C403">
        <v>172</v>
      </c>
      <c r="D403" t="s">
        <v>1281</v>
      </c>
      <c r="E403" t="s">
        <v>407</v>
      </c>
      <c r="F403">
        <v>0.995</v>
      </c>
      <c r="G403">
        <v>10</v>
      </c>
      <c r="H403">
        <v>200</v>
      </c>
      <c r="I403">
        <v>1200</v>
      </c>
      <c r="J403">
        <v>106.3</v>
      </c>
      <c r="K403">
        <v>23.92</v>
      </c>
      <c r="L403" s="1" t="s">
        <v>1282</v>
      </c>
      <c r="M403" s="1" t="s">
        <v>1283</v>
      </c>
      <c r="N403" t="b">
        <v>0</v>
      </c>
      <c r="O403" s="1" t="s">
        <v>1226</v>
      </c>
      <c r="P403" s="1">
        <v>22.396482335286699</v>
      </c>
      <c r="Q403" s="1" t="s">
        <v>1284</v>
      </c>
    </row>
    <row r="404" spans="1:26" x14ac:dyDescent="0.2">
      <c r="A404">
        <v>4</v>
      </c>
      <c r="B404">
        <v>1.5</v>
      </c>
      <c r="C404">
        <v>173</v>
      </c>
      <c r="D404" t="s">
        <v>592</v>
      </c>
      <c r="E404" t="s">
        <v>407</v>
      </c>
      <c r="F404">
        <v>0.995</v>
      </c>
      <c r="G404">
        <v>10</v>
      </c>
      <c r="H404">
        <v>200</v>
      </c>
      <c r="I404">
        <v>1200</v>
      </c>
      <c r="J404">
        <v>102.3</v>
      </c>
      <c r="K404">
        <v>25.12</v>
      </c>
      <c r="L404" s="1" t="s">
        <v>1285</v>
      </c>
      <c r="M404" s="1" t="s">
        <v>1286</v>
      </c>
      <c r="N404" t="b">
        <v>0</v>
      </c>
      <c r="O404" s="1" t="s">
        <v>1226</v>
      </c>
      <c r="P404" s="1">
        <v>24.474840374069601</v>
      </c>
      <c r="Q404" s="1" t="s">
        <v>1287</v>
      </c>
    </row>
    <row r="405" spans="1:26" x14ac:dyDescent="0.2">
      <c r="A405">
        <v>4</v>
      </c>
      <c r="B405">
        <v>1.5</v>
      </c>
      <c r="C405">
        <v>174</v>
      </c>
      <c r="D405" t="s">
        <v>595</v>
      </c>
      <c r="E405" t="s">
        <v>407</v>
      </c>
      <c r="F405">
        <v>0.995</v>
      </c>
      <c r="G405">
        <v>10</v>
      </c>
      <c r="H405">
        <v>200</v>
      </c>
      <c r="I405">
        <v>1200</v>
      </c>
      <c r="J405">
        <v>100.8</v>
      </c>
      <c r="K405">
        <v>24.43</v>
      </c>
      <c r="L405" s="1" t="s">
        <v>1246</v>
      </c>
      <c r="M405" s="1" t="s">
        <v>1288</v>
      </c>
      <c r="N405" t="b">
        <v>0</v>
      </c>
      <c r="O405" s="1" t="s">
        <v>1226</v>
      </c>
      <c r="P405" s="1">
        <v>24.1392788860101</v>
      </c>
      <c r="Q405" s="1" t="s">
        <v>1289</v>
      </c>
    </row>
    <row r="406" spans="1:26" x14ac:dyDescent="0.2">
      <c r="A406">
        <v>4</v>
      </c>
      <c r="B406">
        <v>1.5</v>
      </c>
      <c r="C406">
        <v>175</v>
      </c>
      <c r="D406" t="s">
        <v>598</v>
      </c>
      <c r="E406" t="s">
        <v>407</v>
      </c>
      <c r="F406">
        <v>0.995</v>
      </c>
      <c r="G406">
        <v>10</v>
      </c>
      <c r="H406">
        <v>200</v>
      </c>
      <c r="I406">
        <v>1200</v>
      </c>
      <c r="J406">
        <v>98.79</v>
      </c>
      <c r="K406">
        <v>24.61</v>
      </c>
      <c r="L406" s="1" t="s">
        <v>1290</v>
      </c>
      <c r="M406" s="1" t="s">
        <v>1291</v>
      </c>
      <c r="N406" t="b">
        <v>0</v>
      </c>
      <c r="O406" s="1" t="s">
        <v>1226</v>
      </c>
      <c r="P406" s="1">
        <v>24.818114903556499</v>
      </c>
      <c r="Q406" s="1" t="s">
        <v>1292</v>
      </c>
    </row>
    <row r="407" spans="1:26" x14ac:dyDescent="0.2">
      <c r="A407">
        <v>4</v>
      </c>
      <c r="B407">
        <v>1.5</v>
      </c>
      <c r="C407">
        <v>176</v>
      </c>
      <c r="D407" t="s">
        <v>602</v>
      </c>
      <c r="E407" t="s">
        <v>407</v>
      </c>
      <c r="F407">
        <v>0.995</v>
      </c>
      <c r="G407">
        <v>10</v>
      </c>
      <c r="H407">
        <v>200</v>
      </c>
      <c r="I407">
        <v>800</v>
      </c>
      <c r="J407">
        <v>95.29</v>
      </c>
      <c r="K407">
        <v>23.92</v>
      </c>
      <c r="L407" s="1" t="s">
        <v>1293</v>
      </c>
      <c r="M407" s="1" t="s">
        <v>1294</v>
      </c>
      <c r="N407" t="b">
        <v>0</v>
      </c>
      <c r="O407" s="1" t="s">
        <v>1226</v>
      </c>
      <c r="P407" s="1">
        <v>24.9907249733048</v>
      </c>
      <c r="Q407" s="1" t="s">
        <v>1295</v>
      </c>
      <c r="S407">
        <f>P407+P408+P409+P410+P411</f>
        <v>120.8715921552045</v>
      </c>
    </row>
    <row r="408" spans="1:26" x14ac:dyDescent="0.2">
      <c r="A408">
        <v>4</v>
      </c>
      <c r="B408">
        <v>1.5</v>
      </c>
      <c r="C408">
        <v>177</v>
      </c>
      <c r="D408" t="s">
        <v>606</v>
      </c>
      <c r="E408" t="s">
        <v>407</v>
      </c>
      <c r="F408">
        <v>0.995</v>
      </c>
      <c r="G408">
        <v>10</v>
      </c>
      <c r="H408">
        <v>200</v>
      </c>
      <c r="I408">
        <v>800</v>
      </c>
      <c r="J408">
        <v>95.94</v>
      </c>
      <c r="K408">
        <v>23.72</v>
      </c>
      <c r="L408" s="1" t="s">
        <v>1296</v>
      </c>
      <c r="M408" s="1" t="s">
        <v>1297</v>
      </c>
      <c r="N408" t="b">
        <v>0</v>
      </c>
      <c r="O408" s="1" t="s">
        <v>1226</v>
      </c>
      <c r="P408" s="1">
        <v>24.607592081626699</v>
      </c>
      <c r="Q408" s="1" t="s">
        <v>1298</v>
      </c>
    </row>
    <row r="409" spans="1:26" x14ac:dyDescent="0.2">
      <c r="A409">
        <v>4</v>
      </c>
      <c r="B409">
        <v>1.5</v>
      </c>
      <c r="C409">
        <v>178</v>
      </c>
      <c r="D409" t="s">
        <v>610</v>
      </c>
      <c r="E409" t="s">
        <v>407</v>
      </c>
      <c r="F409">
        <v>0.995</v>
      </c>
      <c r="G409">
        <v>10</v>
      </c>
      <c r="H409">
        <v>200</v>
      </c>
      <c r="I409">
        <v>800</v>
      </c>
      <c r="J409">
        <v>100.8</v>
      </c>
      <c r="K409">
        <v>23.26</v>
      </c>
      <c r="L409" s="1" t="s">
        <v>1246</v>
      </c>
      <c r="M409" s="1" t="s">
        <v>1251</v>
      </c>
      <c r="N409" t="b">
        <v>0</v>
      </c>
      <c r="O409" s="1" t="s">
        <v>1226</v>
      </c>
      <c r="P409" s="1">
        <v>22.951243681027702</v>
      </c>
      <c r="Q409">
        <v>536.52857087508096</v>
      </c>
    </row>
    <row r="410" spans="1:26" x14ac:dyDescent="0.2">
      <c r="A410">
        <v>4</v>
      </c>
      <c r="B410">
        <v>1.5</v>
      </c>
      <c r="C410">
        <v>179</v>
      </c>
      <c r="D410" t="s">
        <v>613</v>
      </c>
      <c r="E410" t="s">
        <v>407</v>
      </c>
      <c r="F410">
        <v>0.995</v>
      </c>
      <c r="G410">
        <v>10</v>
      </c>
      <c r="H410">
        <v>200</v>
      </c>
      <c r="I410">
        <v>800</v>
      </c>
      <c r="J410">
        <v>100.9</v>
      </c>
      <c r="K410">
        <v>24.25</v>
      </c>
      <c r="L410" s="1" t="s">
        <v>1299</v>
      </c>
      <c r="M410" s="1" t="s">
        <v>1300</v>
      </c>
      <c r="N410" t="b">
        <v>0</v>
      </c>
      <c r="O410" s="1" t="s">
        <v>1226</v>
      </c>
      <c r="P410" s="1">
        <v>23.932705039626001</v>
      </c>
      <c r="Q410" s="1" t="s">
        <v>1301</v>
      </c>
    </row>
    <row r="411" spans="1:26" x14ac:dyDescent="0.2">
      <c r="A411">
        <v>4</v>
      </c>
      <c r="B411">
        <v>1.5</v>
      </c>
      <c r="C411">
        <v>180</v>
      </c>
      <c r="D411" t="s">
        <v>617</v>
      </c>
      <c r="E411" t="s">
        <v>407</v>
      </c>
      <c r="F411">
        <v>0.995</v>
      </c>
      <c r="G411">
        <v>10</v>
      </c>
      <c r="H411">
        <v>200</v>
      </c>
      <c r="I411">
        <v>800</v>
      </c>
      <c r="J411">
        <v>104.5</v>
      </c>
      <c r="K411">
        <v>25.56</v>
      </c>
      <c r="L411" s="1" t="s">
        <v>1302</v>
      </c>
      <c r="M411" s="1" t="s">
        <v>1303</v>
      </c>
      <c r="N411" t="b">
        <v>0</v>
      </c>
      <c r="O411" s="1" t="s">
        <v>1226</v>
      </c>
      <c r="P411" s="1">
        <v>24.389326379619298</v>
      </c>
      <c r="Q411" s="1" t="s">
        <v>1304</v>
      </c>
    </row>
    <row r="412" spans="1:26" x14ac:dyDescent="0.2">
      <c r="A412">
        <v>4</v>
      </c>
      <c r="B412">
        <v>1.5</v>
      </c>
      <c r="C412">
        <v>181</v>
      </c>
      <c r="D412" t="s">
        <v>621</v>
      </c>
      <c r="E412" t="s">
        <v>407</v>
      </c>
      <c r="F412">
        <v>0.995</v>
      </c>
      <c r="G412">
        <v>10</v>
      </c>
      <c r="H412">
        <v>200</v>
      </c>
      <c r="I412">
        <v>400</v>
      </c>
      <c r="J412">
        <v>103</v>
      </c>
      <c r="K412">
        <v>24.83</v>
      </c>
      <c r="L412" s="1" t="s">
        <v>1255</v>
      </c>
      <c r="M412" s="1" t="s">
        <v>1305</v>
      </c>
      <c r="N412" t="b">
        <v>0</v>
      </c>
      <c r="O412" s="1" t="s">
        <v>1226</v>
      </c>
      <c r="P412" s="1">
        <v>24.019953618630002</v>
      </c>
      <c r="Q412" s="1" t="s">
        <v>1306</v>
      </c>
      <c r="S412">
        <f>P412+P413+P414+P415+P416</f>
        <v>118.34874200573779</v>
      </c>
    </row>
    <row r="413" spans="1:26" x14ac:dyDescent="0.2">
      <c r="A413">
        <v>4</v>
      </c>
      <c r="B413">
        <v>1.5</v>
      </c>
      <c r="C413">
        <v>182</v>
      </c>
      <c r="D413" t="s">
        <v>625</v>
      </c>
      <c r="E413" t="s">
        <v>407</v>
      </c>
      <c r="F413">
        <v>0.995</v>
      </c>
      <c r="G413">
        <v>10</v>
      </c>
      <c r="H413">
        <v>200</v>
      </c>
      <c r="I413">
        <v>400</v>
      </c>
      <c r="J413">
        <v>101.3</v>
      </c>
      <c r="K413">
        <v>25.2</v>
      </c>
      <c r="L413" s="1" t="s">
        <v>1307</v>
      </c>
      <c r="M413">
        <v>25.4618514900334</v>
      </c>
      <c r="N413" t="b">
        <v>0</v>
      </c>
      <c r="O413" s="1" t="s">
        <v>1226</v>
      </c>
      <c r="P413" s="1">
        <v>24.797850614282599</v>
      </c>
      <c r="Q413" s="1" t="s">
        <v>1308</v>
      </c>
    </row>
    <row r="414" spans="1:26" x14ac:dyDescent="0.2">
      <c r="A414">
        <v>4</v>
      </c>
      <c r="B414">
        <v>1.5</v>
      </c>
      <c r="C414">
        <v>183</v>
      </c>
      <c r="D414" t="s">
        <v>629</v>
      </c>
      <c r="E414" t="s">
        <v>407</v>
      </c>
      <c r="F414">
        <v>0.995</v>
      </c>
      <c r="G414">
        <v>10</v>
      </c>
      <c r="H414">
        <v>200</v>
      </c>
      <c r="I414">
        <v>400</v>
      </c>
      <c r="J414">
        <v>105.1</v>
      </c>
      <c r="K414">
        <v>24.45</v>
      </c>
      <c r="L414" s="1" t="s">
        <v>1309</v>
      </c>
      <c r="M414" s="1" t="s">
        <v>1310</v>
      </c>
      <c r="N414" t="b">
        <v>0</v>
      </c>
      <c r="O414" s="1" t="s">
        <v>1226</v>
      </c>
      <c r="P414" s="1">
        <v>23.168882743782699</v>
      </c>
      <c r="Q414" s="1" t="s">
        <v>1311</v>
      </c>
    </row>
    <row r="415" spans="1:26" x14ac:dyDescent="0.2">
      <c r="A415">
        <v>4</v>
      </c>
      <c r="B415">
        <v>1.5</v>
      </c>
      <c r="C415">
        <v>184</v>
      </c>
      <c r="D415" t="s">
        <v>633</v>
      </c>
      <c r="E415" t="s">
        <v>407</v>
      </c>
      <c r="F415">
        <v>0.995</v>
      </c>
      <c r="G415">
        <v>10</v>
      </c>
      <c r="H415">
        <v>200</v>
      </c>
      <c r="I415">
        <v>400</v>
      </c>
      <c r="J415">
        <v>105.8</v>
      </c>
      <c r="K415">
        <v>24.57</v>
      </c>
      <c r="L415" s="1" t="s">
        <v>1312</v>
      </c>
      <c r="M415" s="1" t="s">
        <v>1313</v>
      </c>
      <c r="N415" t="b">
        <v>0</v>
      </c>
      <c r="O415" s="1" t="s">
        <v>1226</v>
      </c>
      <c r="P415" s="1">
        <v>23.131322574259801</v>
      </c>
      <c r="Q415" s="1" t="s">
        <v>1314</v>
      </c>
    </row>
    <row r="416" spans="1:26" x14ac:dyDescent="0.2">
      <c r="A416">
        <v>4</v>
      </c>
      <c r="B416">
        <v>1.5</v>
      </c>
      <c r="C416">
        <v>185</v>
      </c>
      <c r="D416" t="s">
        <v>637</v>
      </c>
      <c r="E416" t="s">
        <v>407</v>
      </c>
      <c r="F416">
        <v>0.995</v>
      </c>
      <c r="G416">
        <v>10</v>
      </c>
      <c r="H416">
        <v>200</v>
      </c>
      <c r="I416">
        <v>400</v>
      </c>
      <c r="J416">
        <v>101.7</v>
      </c>
      <c r="K416">
        <v>23.74</v>
      </c>
      <c r="L416" s="1" t="s">
        <v>1315</v>
      </c>
      <c r="M416" s="1" t="s">
        <v>1316</v>
      </c>
      <c r="N416" t="b">
        <v>0</v>
      </c>
      <c r="O416" s="1" t="s">
        <v>1226</v>
      </c>
      <c r="P416" s="1">
        <v>23.2307324547827</v>
      </c>
      <c r="Q416" s="1" t="s">
        <v>1317</v>
      </c>
    </row>
    <row r="417" spans="1:19" x14ac:dyDescent="0.2">
      <c r="A417">
        <v>4</v>
      </c>
      <c r="B417">
        <v>1.5</v>
      </c>
      <c r="C417">
        <v>186</v>
      </c>
      <c r="D417" t="s">
        <v>641</v>
      </c>
      <c r="E417" t="s">
        <v>407</v>
      </c>
      <c r="F417">
        <v>0.995</v>
      </c>
      <c r="G417">
        <v>10</v>
      </c>
      <c r="H417">
        <v>200</v>
      </c>
      <c r="I417">
        <v>0</v>
      </c>
      <c r="J417">
        <v>107.9</v>
      </c>
      <c r="K417">
        <v>0.5071</v>
      </c>
      <c r="L417" s="1" t="s">
        <v>1318</v>
      </c>
      <c r="M417" s="1" t="s">
        <v>1319</v>
      </c>
      <c r="N417" t="b">
        <v>1</v>
      </c>
      <c r="O417" s="1" t="s">
        <v>1226</v>
      </c>
      <c r="P417">
        <v>0.142336075829919</v>
      </c>
      <c r="Q417">
        <v>7.2541330706886606E-2</v>
      </c>
      <c r="S417">
        <f>P417+P418+P419+P420+P421</f>
        <v>0.50238217282897091</v>
      </c>
    </row>
    <row r="418" spans="1:19" x14ac:dyDescent="0.2">
      <c r="A418">
        <v>4</v>
      </c>
      <c r="B418">
        <v>1.5</v>
      </c>
      <c r="C418">
        <v>187</v>
      </c>
      <c r="D418" t="s">
        <v>645</v>
      </c>
      <c r="E418" t="s">
        <v>407</v>
      </c>
      <c r="F418">
        <v>0.995</v>
      </c>
      <c r="G418">
        <v>10</v>
      </c>
      <c r="H418">
        <v>200</v>
      </c>
      <c r="I418">
        <v>0</v>
      </c>
      <c r="J418">
        <v>105</v>
      </c>
      <c r="K418">
        <v>0.55289999999999995</v>
      </c>
      <c r="L418" s="1" t="s">
        <v>1320</v>
      </c>
      <c r="M418" s="1" t="s">
        <v>1321</v>
      </c>
      <c r="N418" t="b">
        <v>1</v>
      </c>
      <c r="O418" s="1" t="s">
        <v>1226</v>
      </c>
      <c r="P418">
        <v>0.101634723242853</v>
      </c>
      <c r="Q418">
        <v>5.64762195788681E-2</v>
      </c>
    </row>
    <row r="419" spans="1:19" x14ac:dyDescent="0.2">
      <c r="A419">
        <v>4</v>
      </c>
      <c r="B419">
        <v>1.5</v>
      </c>
      <c r="C419">
        <v>188</v>
      </c>
      <c r="D419" t="s">
        <v>648</v>
      </c>
      <c r="E419" t="s">
        <v>407</v>
      </c>
      <c r="F419">
        <v>0.995</v>
      </c>
      <c r="G419">
        <v>10</v>
      </c>
      <c r="H419">
        <v>200</v>
      </c>
      <c r="I419">
        <v>0</v>
      </c>
      <c r="J419">
        <v>105</v>
      </c>
      <c r="K419">
        <v>0.57799999999999996</v>
      </c>
      <c r="L419" s="1" t="s">
        <v>1320</v>
      </c>
      <c r="M419" s="1" t="s">
        <v>1322</v>
      </c>
      <c r="N419" t="b">
        <v>1</v>
      </c>
      <c r="O419" s="1" t="s">
        <v>1226</v>
      </c>
      <c r="P419">
        <v>7.7169616649960596E-2</v>
      </c>
      <c r="Q419">
        <v>4.4828179320278598E-2</v>
      </c>
    </row>
    <row r="420" spans="1:19" x14ac:dyDescent="0.2">
      <c r="A420">
        <v>4</v>
      </c>
      <c r="B420">
        <v>1.5</v>
      </c>
      <c r="C420">
        <v>189</v>
      </c>
      <c r="D420" t="s">
        <v>652</v>
      </c>
      <c r="E420" t="s">
        <v>407</v>
      </c>
      <c r="F420">
        <v>0.995</v>
      </c>
      <c r="G420">
        <v>10</v>
      </c>
      <c r="H420">
        <v>200</v>
      </c>
      <c r="I420">
        <v>0</v>
      </c>
      <c r="J420">
        <v>115.3</v>
      </c>
      <c r="K420">
        <v>0.73440000000000005</v>
      </c>
      <c r="L420" s="1" t="s">
        <v>1323</v>
      </c>
      <c r="M420" s="1" t="s">
        <v>1324</v>
      </c>
      <c r="N420" t="b">
        <v>1</v>
      </c>
      <c r="O420" s="1" t="s">
        <v>1226</v>
      </c>
      <c r="P420">
        <v>6.8535926453373294E-2</v>
      </c>
      <c r="Q420">
        <v>5.0585712952117903E-2</v>
      </c>
    </row>
    <row r="421" spans="1:19" x14ac:dyDescent="0.2">
      <c r="A421">
        <v>4</v>
      </c>
      <c r="B421">
        <v>1.5</v>
      </c>
      <c r="C421">
        <v>190</v>
      </c>
      <c r="D421" t="s">
        <v>1325</v>
      </c>
      <c r="E421" t="s">
        <v>407</v>
      </c>
      <c r="F421">
        <v>0.995</v>
      </c>
      <c r="G421">
        <v>10</v>
      </c>
      <c r="H421">
        <v>200</v>
      </c>
      <c r="I421">
        <v>0</v>
      </c>
      <c r="J421">
        <v>97.84</v>
      </c>
      <c r="K421">
        <v>0.76490000000000002</v>
      </c>
      <c r="L421" s="1" t="s">
        <v>1326</v>
      </c>
      <c r="M421" s="1" t="s">
        <v>1327</v>
      </c>
      <c r="N421" t="b">
        <v>1</v>
      </c>
      <c r="O421" s="1" t="s">
        <v>1226</v>
      </c>
      <c r="P421" s="1">
        <v>0.11270583065286501</v>
      </c>
      <c r="Q421">
        <v>8.6641899363192998E-2</v>
      </c>
    </row>
    <row r="422" spans="1:19" x14ac:dyDescent="0.2">
      <c r="A422">
        <v>4</v>
      </c>
      <c r="B422">
        <v>1.5</v>
      </c>
      <c r="C422">
        <v>201</v>
      </c>
      <c r="D422" t="s">
        <v>1328</v>
      </c>
      <c r="E422" t="s">
        <v>678</v>
      </c>
      <c r="F422">
        <v>1.004</v>
      </c>
      <c r="G422">
        <v>0.06</v>
      </c>
      <c r="H422">
        <v>200</v>
      </c>
      <c r="I422">
        <v>0.06</v>
      </c>
      <c r="J422">
        <v>97.41</v>
      </c>
      <c r="K422">
        <v>94.27</v>
      </c>
      <c r="L422" s="1" t="s">
        <v>1329</v>
      </c>
      <c r="M422" s="1" t="s">
        <v>1330</v>
      </c>
      <c r="N422" t="b">
        <v>0</v>
      </c>
      <c r="O422" s="1" t="s">
        <v>1226</v>
      </c>
      <c r="P422" s="1">
        <v>98.372051609558497</v>
      </c>
      <c r="Q422" s="1" t="s">
        <v>1331</v>
      </c>
      <c r="S422">
        <f>P422+P423+P424+P425+P426</f>
        <v>453.5277862979824</v>
      </c>
    </row>
    <row r="423" spans="1:19" x14ac:dyDescent="0.2">
      <c r="A423">
        <v>4</v>
      </c>
      <c r="B423">
        <v>1.5</v>
      </c>
      <c r="C423">
        <v>202</v>
      </c>
      <c r="D423" t="s">
        <v>1332</v>
      </c>
      <c r="E423" t="s">
        <v>678</v>
      </c>
      <c r="F423">
        <v>1.004</v>
      </c>
      <c r="G423">
        <v>0.06</v>
      </c>
      <c r="H423">
        <v>200</v>
      </c>
      <c r="I423">
        <v>0.06</v>
      </c>
      <c r="J423">
        <v>102.7</v>
      </c>
      <c r="K423">
        <v>90.61</v>
      </c>
      <c r="L423" s="1" t="s">
        <v>1333</v>
      </c>
      <c r="M423">
        <v>90.300586171189096</v>
      </c>
      <c r="N423" t="b">
        <v>0</v>
      </c>
      <c r="O423" s="1" t="s">
        <v>1226</v>
      </c>
      <c r="P423" s="1">
        <v>89.645658030708105</v>
      </c>
      <c r="Q423" s="1" t="s">
        <v>1334</v>
      </c>
    </row>
    <row r="424" spans="1:19" x14ac:dyDescent="0.2">
      <c r="A424">
        <v>4</v>
      </c>
      <c r="B424">
        <v>1.5</v>
      </c>
      <c r="C424">
        <v>203</v>
      </c>
      <c r="D424" t="s">
        <v>1335</v>
      </c>
      <c r="E424" t="s">
        <v>678</v>
      </c>
      <c r="F424">
        <v>1.004</v>
      </c>
      <c r="G424">
        <v>0.06</v>
      </c>
      <c r="H424">
        <v>200</v>
      </c>
      <c r="I424">
        <v>0.06</v>
      </c>
      <c r="J424">
        <v>103.3</v>
      </c>
      <c r="K424">
        <v>93.07</v>
      </c>
      <c r="L424" s="1" t="s">
        <v>1336</v>
      </c>
      <c r="M424" s="1" t="s">
        <v>1337</v>
      </c>
      <c r="N424" t="b">
        <v>0</v>
      </c>
      <c r="O424" s="1" t="s">
        <v>1226</v>
      </c>
      <c r="P424">
        <v>91.561086140671605</v>
      </c>
      <c r="Q424" s="1" t="s">
        <v>1338</v>
      </c>
    </row>
    <row r="425" spans="1:19" x14ac:dyDescent="0.2">
      <c r="A425">
        <v>4</v>
      </c>
      <c r="B425">
        <v>1.5</v>
      </c>
      <c r="C425">
        <v>204</v>
      </c>
      <c r="D425" t="s">
        <v>1339</v>
      </c>
      <c r="E425" t="s">
        <v>678</v>
      </c>
      <c r="F425">
        <v>1.004</v>
      </c>
      <c r="G425">
        <v>0.06</v>
      </c>
      <c r="H425">
        <v>200</v>
      </c>
      <c r="I425">
        <v>0.06</v>
      </c>
      <c r="J425">
        <v>105.7</v>
      </c>
      <c r="K425">
        <v>87.45</v>
      </c>
      <c r="L425" s="1" t="s">
        <v>1340</v>
      </c>
      <c r="M425" s="1" t="s">
        <v>1341</v>
      </c>
      <c r="N425" t="b">
        <v>0</v>
      </c>
      <c r="O425" s="1" t="s">
        <v>1226</v>
      </c>
      <c r="P425" s="1">
        <v>84.035923744909198</v>
      </c>
      <c r="Q425" s="1" t="s">
        <v>1342</v>
      </c>
    </row>
    <row r="426" spans="1:19" x14ac:dyDescent="0.2">
      <c r="A426">
        <v>4</v>
      </c>
      <c r="B426">
        <v>1.5</v>
      </c>
      <c r="C426">
        <v>205</v>
      </c>
      <c r="D426" t="s">
        <v>1343</v>
      </c>
      <c r="E426" t="s">
        <v>678</v>
      </c>
      <c r="F426">
        <v>1.004</v>
      </c>
      <c r="G426">
        <v>0.06</v>
      </c>
      <c r="H426">
        <v>200</v>
      </c>
      <c r="I426">
        <v>0.06</v>
      </c>
      <c r="J426">
        <v>102.1</v>
      </c>
      <c r="K426">
        <v>90.35</v>
      </c>
      <c r="L426" s="1" t="s">
        <v>1344</v>
      </c>
      <c r="M426" s="1" t="s">
        <v>1345</v>
      </c>
      <c r="N426" t="b">
        <v>0</v>
      </c>
      <c r="O426" s="1" t="s">
        <v>1226</v>
      </c>
      <c r="P426" s="1">
        <v>89.913066772134997</v>
      </c>
      <c r="Q426" s="1" t="s">
        <v>1346</v>
      </c>
    </row>
    <row r="427" spans="1:19" x14ac:dyDescent="0.2">
      <c r="A427">
        <v>4</v>
      </c>
      <c r="B427">
        <v>1.5</v>
      </c>
      <c r="C427">
        <v>207</v>
      </c>
      <c r="D427" t="s">
        <v>1347</v>
      </c>
      <c r="E427" t="s">
        <v>678</v>
      </c>
      <c r="F427">
        <v>1.002</v>
      </c>
      <c r="G427">
        <v>0.1</v>
      </c>
      <c r="H427">
        <v>200</v>
      </c>
      <c r="I427">
        <v>0.1</v>
      </c>
      <c r="J427">
        <v>103.1</v>
      </c>
      <c r="K427">
        <v>91.35</v>
      </c>
      <c r="L427">
        <v>0.99270974814604596</v>
      </c>
      <c r="M427">
        <v>90.684035493141295</v>
      </c>
      <c r="N427" t="b">
        <v>0</v>
      </c>
      <c r="O427" s="1" t="s">
        <v>1226</v>
      </c>
      <c r="P427" s="1">
        <v>90.031654200747397</v>
      </c>
      <c r="Q427" s="1" t="s">
        <v>1348</v>
      </c>
      <c r="S427">
        <f>P427+P428+P429+P430+P431</f>
        <v>444.92529803266672</v>
      </c>
    </row>
    <row r="428" spans="1:19" x14ac:dyDescent="0.2">
      <c r="A428">
        <v>4</v>
      </c>
      <c r="B428">
        <v>1.5</v>
      </c>
      <c r="C428">
        <v>208</v>
      </c>
      <c r="D428" t="s">
        <v>1349</v>
      </c>
      <c r="E428" t="s">
        <v>678</v>
      </c>
      <c r="F428">
        <v>1.002</v>
      </c>
      <c r="G428">
        <v>0.1</v>
      </c>
      <c r="H428">
        <v>200</v>
      </c>
      <c r="I428">
        <v>0.1</v>
      </c>
      <c r="J428">
        <v>97.65</v>
      </c>
      <c r="K428">
        <v>90.34</v>
      </c>
      <c r="L428" s="1" t="s">
        <v>1350</v>
      </c>
      <c r="M428" s="1" t="s">
        <v>1351</v>
      </c>
      <c r="N428" t="b">
        <v>0</v>
      </c>
      <c r="O428" s="1" t="s">
        <v>1226</v>
      </c>
      <c r="P428" s="1">
        <v>94.010059646238403</v>
      </c>
      <c r="Q428">
        <v>8475.9169545321201</v>
      </c>
    </row>
    <row r="429" spans="1:19" x14ac:dyDescent="0.2">
      <c r="A429">
        <v>4</v>
      </c>
      <c r="B429">
        <v>1.5</v>
      </c>
      <c r="C429">
        <v>209</v>
      </c>
      <c r="D429" t="s">
        <v>1352</v>
      </c>
      <c r="E429" t="s">
        <v>678</v>
      </c>
      <c r="F429">
        <v>1.002</v>
      </c>
      <c r="G429">
        <v>0.1</v>
      </c>
      <c r="H429">
        <v>200</v>
      </c>
      <c r="I429">
        <v>0.1</v>
      </c>
      <c r="J429">
        <v>108.6</v>
      </c>
      <c r="K429">
        <v>89.75</v>
      </c>
      <c r="L429" s="1" t="s">
        <v>1353</v>
      </c>
      <c r="M429" s="1" t="s">
        <v>1354</v>
      </c>
      <c r="N429" t="b">
        <v>0</v>
      </c>
      <c r="O429" s="1" t="s">
        <v>1226</v>
      </c>
      <c r="P429">
        <v>83.954264405657597</v>
      </c>
      <c r="Q429" s="1" t="s">
        <v>1355</v>
      </c>
    </row>
    <row r="430" spans="1:19" x14ac:dyDescent="0.2">
      <c r="A430">
        <v>4</v>
      </c>
      <c r="B430">
        <v>1.5</v>
      </c>
      <c r="C430">
        <v>210</v>
      </c>
      <c r="D430" t="s">
        <v>677</v>
      </c>
      <c r="E430" t="s">
        <v>678</v>
      </c>
      <c r="F430">
        <v>1.002</v>
      </c>
      <c r="G430">
        <v>0.1</v>
      </c>
      <c r="H430">
        <v>200</v>
      </c>
      <c r="I430">
        <v>0.1</v>
      </c>
      <c r="J430">
        <v>103.9</v>
      </c>
      <c r="K430">
        <v>93.24</v>
      </c>
      <c r="L430" s="1" t="s">
        <v>1356</v>
      </c>
      <c r="M430" s="1" t="s">
        <v>1357</v>
      </c>
      <c r="N430" t="b">
        <v>0</v>
      </c>
      <c r="O430" s="1" t="s">
        <v>1226</v>
      </c>
      <c r="P430" s="1">
        <v>91.198579706866994</v>
      </c>
      <c r="Q430" s="1" t="s">
        <v>1358</v>
      </c>
    </row>
    <row r="431" spans="1:19" x14ac:dyDescent="0.2">
      <c r="A431">
        <v>4</v>
      </c>
      <c r="B431">
        <v>1.5</v>
      </c>
      <c r="C431">
        <v>211</v>
      </c>
      <c r="D431" t="s">
        <v>680</v>
      </c>
      <c r="E431" t="s">
        <v>678</v>
      </c>
      <c r="F431">
        <v>1.002</v>
      </c>
      <c r="G431">
        <v>0.1</v>
      </c>
      <c r="H431">
        <v>200</v>
      </c>
      <c r="I431">
        <v>0.1</v>
      </c>
      <c r="J431">
        <v>106.7</v>
      </c>
      <c r="K431">
        <v>90.04</v>
      </c>
      <c r="L431" s="1" t="s">
        <v>1359</v>
      </c>
      <c r="M431" s="1" t="s">
        <v>1360</v>
      </c>
      <c r="N431" t="b">
        <v>0</v>
      </c>
      <c r="O431" s="1" t="s">
        <v>1226</v>
      </c>
      <c r="P431" s="1">
        <v>85.730740073156298</v>
      </c>
      <c r="Q431" s="1" t="s">
        <v>1361</v>
      </c>
    </row>
    <row r="432" spans="1:19" x14ac:dyDescent="0.2">
      <c r="A432">
        <v>4</v>
      </c>
      <c r="B432">
        <v>1.5</v>
      </c>
      <c r="C432">
        <v>212</v>
      </c>
      <c r="D432" t="s">
        <v>684</v>
      </c>
      <c r="E432" t="s">
        <v>678</v>
      </c>
      <c r="F432">
        <v>1.002</v>
      </c>
      <c r="G432">
        <v>0.15</v>
      </c>
      <c r="H432">
        <v>200</v>
      </c>
      <c r="I432">
        <v>0.15</v>
      </c>
      <c r="J432">
        <v>104.4</v>
      </c>
      <c r="K432">
        <v>73.69</v>
      </c>
      <c r="L432" s="1" t="s">
        <v>1362</v>
      </c>
      <c r="M432" s="1" t="s">
        <v>1363</v>
      </c>
      <c r="N432" t="b">
        <v>0</v>
      </c>
      <c r="O432" s="1" t="s">
        <v>1226</v>
      </c>
      <c r="P432" s="1">
        <v>71.595545542244494</v>
      </c>
      <c r="Q432" s="1" t="s">
        <v>1364</v>
      </c>
      <c r="S432">
        <f>P432+P433+P434+P436+P435</f>
        <v>368.7726298645847</v>
      </c>
    </row>
    <row r="433" spans="1:25" x14ac:dyDescent="0.2">
      <c r="A433">
        <v>4</v>
      </c>
      <c r="B433">
        <v>1.5</v>
      </c>
      <c r="C433">
        <v>213</v>
      </c>
      <c r="D433" t="s">
        <v>688</v>
      </c>
      <c r="E433" t="s">
        <v>678</v>
      </c>
      <c r="F433">
        <v>1.002</v>
      </c>
      <c r="G433">
        <v>0.15</v>
      </c>
      <c r="H433">
        <v>200</v>
      </c>
      <c r="I433">
        <v>0.15</v>
      </c>
      <c r="J433">
        <v>104.1</v>
      </c>
      <c r="K433">
        <v>76.64</v>
      </c>
      <c r="L433" s="1" t="s">
        <v>1365</v>
      </c>
      <c r="M433">
        <v>75.3487450864979</v>
      </c>
      <c r="N433" t="b">
        <v>0</v>
      </c>
      <c r="O433" s="1" t="s">
        <v>1226</v>
      </c>
      <c r="P433">
        <v>74.702645088350906</v>
      </c>
      <c r="Q433" s="1" t="s">
        <v>1366</v>
      </c>
    </row>
    <row r="434" spans="1:25" x14ac:dyDescent="0.2">
      <c r="A434">
        <v>4</v>
      </c>
      <c r="B434">
        <v>1.5</v>
      </c>
      <c r="C434">
        <v>215</v>
      </c>
      <c r="D434" t="s">
        <v>694</v>
      </c>
      <c r="E434" t="s">
        <v>678</v>
      </c>
      <c r="F434">
        <v>1.002</v>
      </c>
      <c r="G434">
        <v>0.15</v>
      </c>
      <c r="H434">
        <v>200</v>
      </c>
      <c r="I434">
        <v>0.15</v>
      </c>
      <c r="J434">
        <v>103</v>
      </c>
      <c r="K434">
        <v>73.41</v>
      </c>
      <c r="L434" s="1" t="s">
        <v>1255</v>
      </c>
      <c r="M434" s="1" t="s">
        <v>1367</v>
      </c>
      <c r="N434" t="b">
        <v>0</v>
      </c>
      <c r="O434" s="1" t="s">
        <v>1226</v>
      </c>
      <c r="P434">
        <v>72.292723298305305</v>
      </c>
      <c r="Q434" s="1" t="s">
        <v>1368</v>
      </c>
    </row>
    <row r="435" spans="1:25" x14ac:dyDescent="0.2">
      <c r="A435">
        <v>4</v>
      </c>
      <c r="B435">
        <v>1.5</v>
      </c>
      <c r="C435">
        <v>216</v>
      </c>
      <c r="D435" t="s">
        <v>698</v>
      </c>
      <c r="E435" t="s">
        <v>678</v>
      </c>
      <c r="F435">
        <v>1.002</v>
      </c>
      <c r="G435">
        <v>0.15</v>
      </c>
      <c r="H435">
        <v>200</v>
      </c>
      <c r="I435">
        <v>0.15</v>
      </c>
      <c r="J435">
        <v>99.29</v>
      </c>
      <c r="K435">
        <v>74.94</v>
      </c>
      <c r="L435" s="1" t="s">
        <v>1369</v>
      </c>
      <c r="M435" s="1" t="s">
        <v>1370</v>
      </c>
      <c r="N435" t="b">
        <v>0</v>
      </c>
      <c r="O435" s="1" t="s">
        <v>1226</v>
      </c>
      <c r="P435" s="1">
        <v>76.577749247270006</v>
      </c>
      <c r="Q435" s="1" t="s">
        <v>1371</v>
      </c>
    </row>
    <row r="436" spans="1:25" x14ac:dyDescent="0.2">
      <c r="A436">
        <v>4</v>
      </c>
      <c r="B436">
        <v>1.5</v>
      </c>
      <c r="C436">
        <v>217</v>
      </c>
      <c r="D436" t="s">
        <v>702</v>
      </c>
      <c r="E436" t="s">
        <v>678</v>
      </c>
      <c r="F436">
        <v>1.002</v>
      </c>
      <c r="G436">
        <v>0.15</v>
      </c>
      <c r="H436">
        <v>200</v>
      </c>
      <c r="I436">
        <v>0.15</v>
      </c>
      <c r="J436">
        <v>103.5</v>
      </c>
      <c r="K436">
        <v>75.09</v>
      </c>
      <c r="L436" s="1" t="s">
        <v>1372</v>
      </c>
      <c r="M436">
        <v>74.253820864072694</v>
      </c>
      <c r="N436" t="b">
        <v>0</v>
      </c>
      <c r="O436" s="1" t="s">
        <v>1226</v>
      </c>
      <c r="P436" s="1">
        <v>73.603966688414005</v>
      </c>
      <c r="Q436">
        <v>5515.8900784760599</v>
      </c>
    </row>
    <row r="437" spans="1:25" x14ac:dyDescent="0.2">
      <c r="A437">
        <v>4</v>
      </c>
      <c r="B437">
        <v>1.5</v>
      </c>
      <c r="C437">
        <v>218</v>
      </c>
      <c r="D437" t="s">
        <v>706</v>
      </c>
      <c r="E437" t="s">
        <v>678</v>
      </c>
      <c r="F437">
        <v>1.006</v>
      </c>
      <c r="G437">
        <v>0.18</v>
      </c>
      <c r="H437">
        <v>200</v>
      </c>
      <c r="I437">
        <v>0.18</v>
      </c>
      <c r="J437">
        <v>97.11</v>
      </c>
      <c r="K437">
        <v>65.400000000000006</v>
      </c>
      <c r="L437" s="1" t="s">
        <v>1373</v>
      </c>
      <c r="M437" s="1" t="s">
        <v>1374</v>
      </c>
      <c r="N437" t="b">
        <v>0</v>
      </c>
      <c r="O437" s="1" t="s">
        <v>1226</v>
      </c>
      <c r="P437" s="1">
        <v>68.245012631030093</v>
      </c>
      <c r="Q437" s="1" t="s">
        <v>1375</v>
      </c>
      <c r="S437">
        <f>P437+P438+P439+P440+P441</f>
        <v>340.47219495990299</v>
      </c>
    </row>
    <row r="438" spans="1:25" x14ac:dyDescent="0.2">
      <c r="A438">
        <v>4</v>
      </c>
      <c r="B438">
        <v>1.5</v>
      </c>
      <c r="C438">
        <v>219</v>
      </c>
      <c r="D438" t="s">
        <v>710</v>
      </c>
      <c r="E438" t="s">
        <v>678</v>
      </c>
      <c r="F438">
        <v>1.006</v>
      </c>
      <c r="G438">
        <v>0.18</v>
      </c>
      <c r="H438">
        <v>200</v>
      </c>
      <c r="I438">
        <v>0.18</v>
      </c>
      <c r="J438">
        <v>101.9</v>
      </c>
      <c r="K438">
        <v>67.22</v>
      </c>
      <c r="L438" s="1" t="s">
        <v>1376</v>
      </c>
      <c r="M438" s="1" t="s">
        <v>1377</v>
      </c>
      <c r="N438" t="b">
        <v>0</v>
      </c>
      <c r="O438" s="1" t="s">
        <v>1226</v>
      </c>
      <c r="P438" s="1">
        <v>66.8575436576714</v>
      </c>
      <c r="Q438" s="1" t="s">
        <v>1378</v>
      </c>
    </row>
    <row r="439" spans="1:25" x14ac:dyDescent="0.2">
      <c r="A439">
        <v>4</v>
      </c>
      <c r="B439">
        <v>1.5</v>
      </c>
      <c r="C439">
        <v>220</v>
      </c>
      <c r="D439" t="s">
        <v>713</v>
      </c>
      <c r="E439" t="s">
        <v>678</v>
      </c>
      <c r="F439">
        <v>1.006</v>
      </c>
      <c r="G439">
        <v>0.18</v>
      </c>
      <c r="H439">
        <v>200</v>
      </c>
      <c r="I439">
        <v>0.18</v>
      </c>
      <c r="J439">
        <v>102</v>
      </c>
      <c r="K439">
        <v>66.81</v>
      </c>
      <c r="L439" s="1" t="s">
        <v>1275</v>
      </c>
      <c r="M439" s="1" t="s">
        <v>1379</v>
      </c>
      <c r="N439" t="b">
        <v>0</v>
      </c>
      <c r="O439" s="1" t="s">
        <v>1226</v>
      </c>
      <c r="P439" s="1">
        <v>66.380432437871093</v>
      </c>
      <c r="Q439" s="1" t="s">
        <v>1380</v>
      </c>
    </row>
    <row r="440" spans="1:25" x14ac:dyDescent="0.2">
      <c r="A440">
        <v>4</v>
      </c>
      <c r="B440">
        <v>1.5</v>
      </c>
      <c r="C440">
        <v>221</v>
      </c>
      <c r="D440" t="s">
        <v>717</v>
      </c>
      <c r="E440" t="s">
        <v>678</v>
      </c>
      <c r="F440">
        <v>1.006</v>
      </c>
      <c r="G440">
        <v>0.18</v>
      </c>
      <c r="H440">
        <v>200</v>
      </c>
      <c r="I440">
        <v>0.18</v>
      </c>
      <c r="J440">
        <v>98.01</v>
      </c>
      <c r="K440">
        <v>68.709999999999994</v>
      </c>
      <c r="L440" s="1" t="s">
        <v>1381</v>
      </c>
      <c r="M440" s="1" t="s">
        <v>1382</v>
      </c>
      <c r="N440" t="b">
        <v>0</v>
      </c>
      <c r="O440" s="1" t="s">
        <v>1226</v>
      </c>
      <c r="P440" s="1">
        <v>71.073737631299494</v>
      </c>
      <c r="Q440" s="1" t="s">
        <v>1383</v>
      </c>
    </row>
    <row r="441" spans="1:25" x14ac:dyDescent="0.2">
      <c r="A441">
        <v>4</v>
      </c>
      <c r="B441">
        <v>1.5</v>
      </c>
      <c r="C441">
        <v>222</v>
      </c>
      <c r="D441" t="s">
        <v>720</v>
      </c>
      <c r="E441" t="s">
        <v>678</v>
      </c>
      <c r="F441">
        <v>1.006</v>
      </c>
      <c r="G441">
        <v>0.18</v>
      </c>
      <c r="H441">
        <v>200</v>
      </c>
      <c r="I441">
        <v>0.18</v>
      </c>
      <c r="J441">
        <v>104</v>
      </c>
      <c r="K441">
        <v>69.67</v>
      </c>
      <c r="L441" s="1" t="s">
        <v>1229</v>
      </c>
      <c r="M441" s="1" t="s">
        <v>1384</v>
      </c>
      <c r="N441" t="b">
        <v>0</v>
      </c>
      <c r="O441" s="1" t="s">
        <v>1226</v>
      </c>
      <c r="P441" s="1">
        <v>67.915468602030899</v>
      </c>
      <c r="Q441" s="1" t="s">
        <v>1385</v>
      </c>
      <c r="W441">
        <v>0</v>
      </c>
      <c r="X441">
        <f>S462/5</f>
        <v>0.10352744923441193</v>
      </c>
      <c r="Y441">
        <f>_xlfn.STDEV.S(P462:P466)</f>
        <v>6.7975702290995088E-2</v>
      </c>
    </row>
    <row r="442" spans="1:25" x14ac:dyDescent="0.2">
      <c r="A442">
        <v>4</v>
      </c>
      <c r="B442">
        <v>1.5</v>
      </c>
      <c r="C442">
        <v>223</v>
      </c>
      <c r="D442" t="s">
        <v>724</v>
      </c>
      <c r="E442" t="s">
        <v>678</v>
      </c>
      <c r="F442">
        <v>1.0029999999999999</v>
      </c>
      <c r="G442">
        <v>0.22</v>
      </c>
      <c r="H442">
        <v>200</v>
      </c>
      <c r="I442">
        <v>0.22</v>
      </c>
      <c r="J442">
        <v>103.5</v>
      </c>
      <c r="K442">
        <v>42.36</v>
      </c>
      <c r="L442" s="1" t="s">
        <v>1372</v>
      </c>
      <c r="M442" s="1" t="s">
        <v>1386</v>
      </c>
      <c r="N442" t="b">
        <v>0</v>
      </c>
      <c r="O442" s="1" t="s">
        <v>1226</v>
      </c>
      <c r="P442" s="1">
        <v>41.238437897881298</v>
      </c>
      <c r="Q442" s="1" t="s">
        <v>1387</v>
      </c>
      <c r="S442">
        <f>P442+P443+P444+P445+P446</f>
        <v>208.32968171686548</v>
      </c>
      <c r="W442">
        <v>60</v>
      </c>
      <c r="X442">
        <f>S422/5</f>
        <v>90.705557259596475</v>
      </c>
      <c r="Y442">
        <f>_xlfn.STDEV.S(P422:P427)</f>
        <v>4.6069720749456815</v>
      </c>
    </row>
    <row r="443" spans="1:25" x14ac:dyDescent="0.2">
      <c r="A443">
        <v>4</v>
      </c>
      <c r="B443">
        <v>1.5</v>
      </c>
      <c r="C443">
        <v>224</v>
      </c>
      <c r="D443" t="s">
        <v>728</v>
      </c>
      <c r="E443" t="s">
        <v>678</v>
      </c>
      <c r="F443">
        <v>1.0029999999999999</v>
      </c>
      <c r="G443">
        <v>0.22</v>
      </c>
      <c r="H443">
        <v>200</v>
      </c>
      <c r="I443">
        <v>0.22</v>
      </c>
      <c r="J443">
        <v>101.9</v>
      </c>
      <c r="K443">
        <v>42.01</v>
      </c>
      <c r="L443" s="1" t="s">
        <v>1376</v>
      </c>
      <c r="M443" s="1" t="s">
        <v>1388</v>
      </c>
      <c r="N443" t="b">
        <v>0</v>
      </c>
      <c r="O443" s="1" t="s">
        <v>1226</v>
      </c>
      <c r="P443" s="1">
        <v>41.535922981079203</v>
      </c>
      <c r="Q443" s="1" t="s">
        <v>1389</v>
      </c>
      <c r="W443">
        <v>100</v>
      </c>
      <c r="X443">
        <f>S427/5</f>
        <v>88.985059606533341</v>
      </c>
      <c r="Y443">
        <f>_xlfn.STDEV.S(P427:P431)</f>
        <v>4.0971072983487034</v>
      </c>
    </row>
    <row r="444" spans="1:25" x14ac:dyDescent="0.2">
      <c r="A444">
        <v>4</v>
      </c>
      <c r="B444">
        <v>1.5</v>
      </c>
      <c r="C444">
        <v>225</v>
      </c>
      <c r="D444" t="s">
        <v>732</v>
      </c>
      <c r="E444" t="s">
        <v>678</v>
      </c>
      <c r="F444">
        <v>1.0029999999999999</v>
      </c>
      <c r="G444">
        <v>0.22</v>
      </c>
      <c r="H444">
        <v>200</v>
      </c>
      <c r="I444">
        <v>0.22</v>
      </c>
      <c r="J444">
        <v>101.8</v>
      </c>
      <c r="K444">
        <v>42.56</v>
      </c>
      <c r="L444" s="1" t="s">
        <v>1390</v>
      </c>
      <c r="M444" s="1" t="s">
        <v>1391</v>
      </c>
      <c r="N444" t="b">
        <v>0</v>
      </c>
      <c r="O444" s="1" t="s">
        <v>1226</v>
      </c>
      <c r="P444" s="1">
        <v>42.129799650928298</v>
      </c>
      <c r="Q444" s="1" t="s">
        <v>1392</v>
      </c>
      <c r="W444">
        <v>150</v>
      </c>
      <c r="X444">
        <f>S432/5</f>
        <v>73.754525972916937</v>
      </c>
      <c r="Y444">
        <f>_xlfn.STDEV.S(P432:P436)</f>
        <v>1.9805460845167475</v>
      </c>
    </row>
    <row r="445" spans="1:25" x14ac:dyDescent="0.2">
      <c r="A445">
        <v>4</v>
      </c>
      <c r="B445">
        <v>1.5</v>
      </c>
      <c r="C445">
        <v>226</v>
      </c>
      <c r="D445" t="s">
        <v>736</v>
      </c>
      <c r="E445" t="s">
        <v>678</v>
      </c>
      <c r="F445">
        <v>1.0029999999999999</v>
      </c>
      <c r="G445">
        <v>0.22</v>
      </c>
      <c r="H445">
        <v>200</v>
      </c>
      <c r="I445">
        <v>0.22</v>
      </c>
      <c r="J445">
        <v>101.4</v>
      </c>
      <c r="K445">
        <v>42.32</v>
      </c>
      <c r="L445" s="1" t="s">
        <v>1393</v>
      </c>
      <c r="M445" s="1" t="s">
        <v>1394</v>
      </c>
      <c r="N445" t="b">
        <v>0</v>
      </c>
      <c r="O445" s="1" t="s">
        <v>1226</v>
      </c>
      <c r="P445" s="1">
        <v>42.0541307380348</v>
      </c>
      <c r="Q445" s="1" t="s">
        <v>1395</v>
      </c>
      <c r="W445">
        <v>180</v>
      </c>
      <c r="X445">
        <f>S437/5</f>
        <v>68.094438991980596</v>
      </c>
      <c r="Y445">
        <f>_xlfn.STDEV.S(P437:P441)</f>
        <v>1.8302084402513408</v>
      </c>
    </row>
    <row r="446" spans="1:25" x14ac:dyDescent="0.2">
      <c r="A446">
        <v>4</v>
      </c>
      <c r="B446">
        <v>1.5</v>
      </c>
      <c r="C446">
        <v>227</v>
      </c>
      <c r="D446" t="s">
        <v>740</v>
      </c>
      <c r="E446" t="s">
        <v>678</v>
      </c>
      <c r="F446">
        <v>1.0029999999999999</v>
      </c>
      <c r="G446">
        <v>0.22</v>
      </c>
      <c r="H446">
        <v>200</v>
      </c>
      <c r="I446">
        <v>0.22</v>
      </c>
      <c r="J446">
        <v>100.7</v>
      </c>
      <c r="K446">
        <v>41.36</v>
      </c>
      <c r="L446" s="1" t="s">
        <v>1396</v>
      </c>
      <c r="M446">
        <v>42.039357049278699</v>
      </c>
      <c r="N446" t="b">
        <v>0</v>
      </c>
      <c r="O446" s="1" t="s">
        <v>1226</v>
      </c>
      <c r="P446" s="1">
        <v>41.371390448941902</v>
      </c>
      <c r="Q446" s="1" t="s">
        <v>1397</v>
      </c>
      <c r="W446">
        <v>220</v>
      </c>
      <c r="X446">
        <f>S442/5</f>
        <v>41.665936343373097</v>
      </c>
      <c r="Y446">
        <f>_xlfn.STDEV.S(P442:P446)</f>
        <v>0.40381918458078431</v>
      </c>
    </row>
    <row r="447" spans="1:25" x14ac:dyDescent="0.2">
      <c r="A447">
        <v>4</v>
      </c>
      <c r="B447">
        <v>1.5</v>
      </c>
      <c r="C447">
        <v>229</v>
      </c>
      <c r="D447" t="s">
        <v>747</v>
      </c>
      <c r="E447" t="s">
        <v>678</v>
      </c>
      <c r="F447">
        <v>0.995</v>
      </c>
      <c r="G447">
        <v>6</v>
      </c>
      <c r="H447">
        <v>200</v>
      </c>
      <c r="I447">
        <v>6</v>
      </c>
      <c r="J447">
        <v>105</v>
      </c>
      <c r="K447">
        <v>25.63</v>
      </c>
      <c r="L447" s="1" t="s">
        <v>1320</v>
      </c>
      <c r="M447" s="1" t="s">
        <v>1398</v>
      </c>
      <c r="N447" t="b">
        <v>0</v>
      </c>
      <c r="O447" s="1" t="s">
        <v>1226</v>
      </c>
      <c r="P447" s="1">
        <v>24.341151115029501</v>
      </c>
      <c r="Q447">
        <v>626.99869656101203</v>
      </c>
      <c r="S447">
        <f>P447+P448+P449+P450+P451</f>
        <v>120.32087248403629</v>
      </c>
      <c r="W447">
        <v>6000</v>
      </c>
      <c r="X447">
        <v>24.064174000000001</v>
      </c>
      <c r="Y447">
        <f>_xlfn.STDEV.S(P447:P451)</f>
        <v>0.93584776324708152</v>
      </c>
    </row>
    <row r="448" spans="1:25" x14ac:dyDescent="0.2">
      <c r="A448">
        <v>4</v>
      </c>
      <c r="B448">
        <v>1.5</v>
      </c>
      <c r="C448">
        <v>230</v>
      </c>
      <c r="D448" t="s">
        <v>751</v>
      </c>
      <c r="E448" t="s">
        <v>678</v>
      </c>
      <c r="F448">
        <v>0.995</v>
      </c>
      <c r="G448">
        <v>6</v>
      </c>
      <c r="H448">
        <v>200</v>
      </c>
      <c r="I448">
        <v>6</v>
      </c>
      <c r="J448">
        <v>103.2</v>
      </c>
      <c r="K448">
        <v>25.99</v>
      </c>
      <c r="L448" s="1" t="s">
        <v>1399</v>
      </c>
      <c r="M448" s="1" t="s">
        <v>1400</v>
      </c>
      <c r="N448" t="b">
        <v>0</v>
      </c>
      <c r="O448" s="1" t="s">
        <v>1226</v>
      </c>
      <c r="P448" s="1">
        <v>25.123720130925101</v>
      </c>
      <c r="Q448" s="1" t="s">
        <v>1401</v>
      </c>
      <c r="W448">
        <v>10000</v>
      </c>
      <c r="X448">
        <v>23.397473000000002</v>
      </c>
      <c r="Y448">
        <f>_xlfn.STDEV.S(P452:P457)</f>
        <v>0.6843501036642704</v>
      </c>
    </row>
    <row r="449" spans="1:25" x14ac:dyDescent="0.2">
      <c r="A449">
        <v>4</v>
      </c>
      <c r="B449">
        <v>1.5</v>
      </c>
      <c r="C449">
        <v>231</v>
      </c>
      <c r="D449" t="s">
        <v>755</v>
      </c>
      <c r="E449" t="s">
        <v>678</v>
      </c>
      <c r="F449">
        <v>0.995</v>
      </c>
      <c r="G449">
        <v>6</v>
      </c>
      <c r="H449">
        <v>200</v>
      </c>
      <c r="I449">
        <v>6</v>
      </c>
      <c r="J449">
        <v>95.21</v>
      </c>
      <c r="K449">
        <v>22.54</v>
      </c>
      <c r="L449" s="1" t="s">
        <v>1402</v>
      </c>
      <c r="M449" s="1" t="s">
        <v>1403</v>
      </c>
      <c r="N449" t="b">
        <v>0</v>
      </c>
      <c r="O449" s="1" t="s">
        <v>1226</v>
      </c>
      <c r="P449" s="1">
        <v>23.528024916321701</v>
      </c>
      <c r="Q449" s="1" t="s">
        <v>1404</v>
      </c>
      <c r="W449">
        <v>10000</v>
      </c>
      <c r="X449">
        <v>23.747340000000001</v>
      </c>
      <c r="Y449">
        <f>_xlfn.STDEV.S(P457:P461)</f>
        <v>0.87079395787239522</v>
      </c>
    </row>
    <row r="450" spans="1:25" x14ac:dyDescent="0.2">
      <c r="A450">
        <v>4</v>
      </c>
      <c r="B450">
        <v>1.5</v>
      </c>
      <c r="C450">
        <v>232</v>
      </c>
      <c r="D450" t="s">
        <v>759</v>
      </c>
      <c r="E450" t="s">
        <v>678</v>
      </c>
      <c r="F450">
        <v>0.995</v>
      </c>
      <c r="G450">
        <v>6</v>
      </c>
      <c r="H450">
        <v>200</v>
      </c>
      <c r="I450">
        <v>6</v>
      </c>
      <c r="J450">
        <v>102.3</v>
      </c>
      <c r="K450">
        <v>25.23</v>
      </c>
      <c r="L450" s="1" t="s">
        <v>1285</v>
      </c>
      <c r="M450" s="1" t="s">
        <v>1405</v>
      </c>
      <c r="N450" t="b">
        <v>0</v>
      </c>
      <c r="O450" s="1" t="s">
        <v>1226</v>
      </c>
      <c r="P450" s="1">
        <v>24.5848943902263</v>
      </c>
      <c r="Q450" s="1" t="s">
        <v>1406</v>
      </c>
    </row>
    <row r="451" spans="1:25" x14ac:dyDescent="0.2">
      <c r="A451">
        <v>4</v>
      </c>
      <c r="B451">
        <v>1.5</v>
      </c>
      <c r="C451">
        <v>233</v>
      </c>
      <c r="D451" t="s">
        <v>763</v>
      </c>
      <c r="E451" t="s">
        <v>678</v>
      </c>
      <c r="F451">
        <v>0.995</v>
      </c>
      <c r="G451">
        <v>6</v>
      </c>
      <c r="H451">
        <v>200</v>
      </c>
      <c r="I451">
        <v>6</v>
      </c>
      <c r="J451">
        <v>101.9</v>
      </c>
      <c r="K451">
        <v>23.3</v>
      </c>
      <c r="L451" s="1" t="s">
        <v>1376</v>
      </c>
      <c r="M451" s="1" t="s">
        <v>1407</v>
      </c>
      <c r="N451" t="b">
        <v>0</v>
      </c>
      <c r="O451" s="1" t="s">
        <v>1226</v>
      </c>
      <c r="P451" s="1">
        <v>22.743081931533698</v>
      </c>
      <c r="Q451" s="1" t="s">
        <v>1408</v>
      </c>
    </row>
    <row r="452" spans="1:25" x14ac:dyDescent="0.2">
      <c r="A452">
        <v>4</v>
      </c>
      <c r="B452">
        <v>1.5</v>
      </c>
      <c r="C452">
        <v>234</v>
      </c>
      <c r="D452" t="s">
        <v>767</v>
      </c>
      <c r="E452" t="s">
        <v>678</v>
      </c>
      <c r="F452">
        <v>0.995</v>
      </c>
      <c r="G452">
        <v>10</v>
      </c>
      <c r="H452">
        <v>200</v>
      </c>
      <c r="I452">
        <v>10</v>
      </c>
      <c r="J452">
        <v>102</v>
      </c>
      <c r="K452">
        <v>23.53</v>
      </c>
      <c r="L452" s="1" t="s">
        <v>1275</v>
      </c>
      <c r="M452" s="1" t="s">
        <v>1409</v>
      </c>
      <c r="N452" t="b">
        <v>0</v>
      </c>
      <c r="O452" s="1" t="s">
        <v>1226</v>
      </c>
      <c r="P452" s="1">
        <v>22.951523752536499</v>
      </c>
      <c r="Q452" s="1" t="s">
        <v>1410</v>
      </c>
      <c r="S452">
        <f>P452+P453+P454+P455+P456</f>
        <v>116.98736537558301</v>
      </c>
    </row>
    <row r="453" spans="1:25" x14ac:dyDescent="0.2">
      <c r="A453">
        <v>4</v>
      </c>
      <c r="B453">
        <v>1.5</v>
      </c>
      <c r="C453">
        <v>235</v>
      </c>
      <c r="D453" t="s">
        <v>771</v>
      </c>
      <c r="E453" t="s">
        <v>678</v>
      </c>
      <c r="F453">
        <v>0.995</v>
      </c>
      <c r="G453">
        <v>10</v>
      </c>
      <c r="H453">
        <v>200</v>
      </c>
      <c r="I453">
        <v>10</v>
      </c>
      <c r="J453">
        <v>96.56</v>
      </c>
      <c r="K453">
        <v>22.58</v>
      </c>
      <c r="L453" s="1" t="s">
        <v>1411</v>
      </c>
      <c r="M453" s="1" t="s">
        <v>1412</v>
      </c>
      <c r="N453" t="b">
        <v>0</v>
      </c>
      <c r="O453" s="1" t="s">
        <v>1226</v>
      </c>
      <c r="P453" s="1">
        <v>23.2406690973101</v>
      </c>
      <c r="Q453" s="1" t="s">
        <v>1413</v>
      </c>
    </row>
    <row r="454" spans="1:25" x14ac:dyDescent="0.2">
      <c r="A454">
        <v>4</v>
      </c>
      <c r="B454">
        <v>1.5</v>
      </c>
      <c r="C454">
        <v>236</v>
      </c>
      <c r="D454" t="s">
        <v>774</v>
      </c>
      <c r="E454" t="s">
        <v>678</v>
      </c>
      <c r="F454">
        <v>0.995</v>
      </c>
      <c r="G454">
        <v>10</v>
      </c>
      <c r="H454">
        <v>200</v>
      </c>
      <c r="I454">
        <v>10</v>
      </c>
      <c r="J454">
        <v>104.4</v>
      </c>
      <c r="K454">
        <v>24.41</v>
      </c>
      <c r="L454" s="1" t="s">
        <v>1362</v>
      </c>
      <c r="M454">
        <v>23.9296124821362</v>
      </c>
      <c r="N454" t="b">
        <v>0</v>
      </c>
      <c r="O454" s="1" t="s">
        <v>1226</v>
      </c>
      <c r="P454" s="1">
        <v>23.285373353810598</v>
      </c>
      <c r="Q454">
        <v>571.25222468996799</v>
      </c>
    </row>
    <row r="455" spans="1:25" x14ac:dyDescent="0.2">
      <c r="A455">
        <v>4</v>
      </c>
      <c r="B455">
        <v>1.5</v>
      </c>
      <c r="C455">
        <v>237</v>
      </c>
      <c r="D455" t="s">
        <v>777</v>
      </c>
      <c r="E455" t="s">
        <v>678</v>
      </c>
      <c r="F455">
        <v>0.995</v>
      </c>
      <c r="G455">
        <v>10</v>
      </c>
      <c r="H455">
        <v>200</v>
      </c>
      <c r="I455">
        <v>10</v>
      </c>
      <c r="J455">
        <v>108.2</v>
      </c>
      <c r="K455">
        <v>26.77</v>
      </c>
      <c r="L455" s="1" t="s">
        <v>1252</v>
      </c>
      <c r="M455" s="1" t="s">
        <v>1414</v>
      </c>
      <c r="N455" t="b">
        <v>0</v>
      </c>
      <c r="O455" s="1" t="s">
        <v>1226</v>
      </c>
      <c r="P455" s="1">
        <v>24.6978999821313</v>
      </c>
      <c r="Q455" s="1" t="s">
        <v>1415</v>
      </c>
    </row>
    <row r="456" spans="1:25" x14ac:dyDescent="0.2">
      <c r="A456">
        <v>4</v>
      </c>
      <c r="B456">
        <v>1.5</v>
      </c>
      <c r="C456">
        <v>238</v>
      </c>
      <c r="D456" t="s">
        <v>781</v>
      </c>
      <c r="E456" t="s">
        <v>678</v>
      </c>
      <c r="F456">
        <v>0.995</v>
      </c>
      <c r="G456">
        <v>10</v>
      </c>
      <c r="H456">
        <v>200</v>
      </c>
      <c r="I456">
        <v>10</v>
      </c>
      <c r="J456">
        <v>104.1</v>
      </c>
      <c r="K456">
        <v>23.86</v>
      </c>
      <c r="L456" s="1" t="s">
        <v>1365</v>
      </c>
      <c r="M456" s="1" t="s">
        <v>1416</v>
      </c>
      <c r="N456" t="b">
        <v>0</v>
      </c>
      <c r="O456" s="1" t="s">
        <v>1226</v>
      </c>
      <c r="P456" s="1">
        <v>22.811899189794499</v>
      </c>
      <c r="Q456" s="1" t="s">
        <v>1417</v>
      </c>
    </row>
    <row r="457" spans="1:25" x14ac:dyDescent="0.2">
      <c r="A457">
        <v>4</v>
      </c>
      <c r="B457">
        <v>1.5</v>
      </c>
      <c r="C457">
        <v>239</v>
      </c>
      <c r="D457" t="s">
        <v>785</v>
      </c>
      <c r="E457" t="s">
        <v>678</v>
      </c>
      <c r="F457">
        <v>0.995</v>
      </c>
      <c r="G457">
        <v>10</v>
      </c>
      <c r="H457">
        <v>200</v>
      </c>
      <c r="I457">
        <v>10</v>
      </c>
      <c r="J457">
        <v>104.2</v>
      </c>
      <c r="K457">
        <v>24.18</v>
      </c>
      <c r="L457">
        <v>0.98220599122676</v>
      </c>
      <c r="M457" s="1" t="s">
        <v>1418</v>
      </c>
      <c r="N457" t="b">
        <v>0</v>
      </c>
      <c r="O457" s="1" t="s">
        <v>1226</v>
      </c>
      <c r="P457" s="1">
        <v>23.104262352969599</v>
      </c>
      <c r="Q457">
        <v>561.46840572342398</v>
      </c>
      <c r="S457">
        <f>P457+P458+P459+P460+P461</f>
        <v>118.73670205748589</v>
      </c>
    </row>
    <row r="458" spans="1:25" x14ac:dyDescent="0.2">
      <c r="A458">
        <v>4</v>
      </c>
      <c r="B458">
        <v>1.5</v>
      </c>
      <c r="C458">
        <v>240</v>
      </c>
      <c r="D458" t="s">
        <v>789</v>
      </c>
      <c r="E458" t="s">
        <v>678</v>
      </c>
      <c r="F458">
        <v>0.995</v>
      </c>
      <c r="G458">
        <v>10</v>
      </c>
      <c r="H458">
        <v>200</v>
      </c>
      <c r="I458">
        <v>10</v>
      </c>
      <c r="J458">
        <v>101.9</v>
      </c>
      <c r="K458">
        <v>24.19</v>
      </c>
      <c r="L458" s="1" t="s">
        <v>1376</v>
      </c>
      <c r="M458" s="1" t="s">
        <v>1419</v>
      </c>
      <c r="N458" t="b">
        <v>0</v>
      </c>
      <c r="O458" s="1" t="s">
        <v>1226</v>
      </c>
      <c r="P458" s="1">
        <v>23.637022526621699</v>
      </c>
      <c r="Q458" s="1" t="s">
        <v>1420</v>
      </c>
    </row>
    <row r="459" spans="1:25" x14ac:dyDescent="0.2">
      <c r="A459">
        <v>4</v>
      </c>
      <c r="B459">
        <v>1.5</v>
      </c>
      <c r="C459">
        <v>241</v>
      </c>
      <c r="D459" t="s">
        <v>792</v>
      </c>
      <c r="E459" t="s">
        <v>678</v>
      </c>
      <c r="F459">
        <v>0.995</v>
      </c>
      <c r="G459">
        <v>10</v>
      </c>
      <c r="H459">
        <v>200</v>
      </c>
      <c r="I459">
        <v>10</v>
      </c>
      <c r="J459">
        <v>102.8</v>
      </c>
      <c r="K459">
        <v>23.77</v>
      </c>
      <c r="L459" s="1" t="s">
        <v>1264</v>
      </c>
      <c r="M459" s="1" t="s">
        <v>1421</v>
      </c>
      <c r="N459" t="b">
        <v>0</v>
      </c>
      <c r="O459" s="1" t="s">
        <v>1226</v>
      </c>
      <c r="P459" s="1">
        <v>23.0114436366113</v>
      </c>
      <c r="Q459" s="1" t="s">
        <v>1422</v>
      </c>
    </row>
    <row r="460" spans="1:25" x14ac:dyDescent="0.2">
      <c r="A460">
        <v>4</v>
      </c>
      <c r="B460">
        <v>1.5</v>
      </c>
      <c r="C460">
        <v>242</v>
      </c>
      <c r="D460" t="s">
        <v>796</v>
      </c>
      <c r="E460" t="s">
        <v>678</v>
      </c>
      <c r="F460">
        <v>0.995</v>
      </c>
      <c r="G460">
        <v>10</v>
      </c>
      <c r="H460">
        <v>200</v>
      </c>
      <c r="I460">
        <v>10</v>
      </c>
      <c r="J460">
        <v>97.4</v>
      </c>
      <c r="K460">
        <v>24.62</v>
      </c>
      <c r="L460" s="1" t="s">
        <v>1423</v>
      </c>
      <c r="M460" s="1" t="s">
        <v>1424</v>
      </c>
      <c r="N460" t="b">
        <v>0</v>
      </c>
      <c r="O460" s="1" t="s">
        <v>1226</v>
      </c>
      <c r="P460" s="1">
        <v>25.183676216680698</v>
      </c>
      <c r="Q460">
        <v>623.13779744188901</v>
      </c>
    </row>
    <row r="461" spans="1:25" x14ac:dyDescent="0.2">
      <c r="A461">
        <v>4</v>
      </c>
      <c r="B461">
        <v>1.5</v>
      </c>
      <c r="C461">
        <v>243</v>
      </c>
      <c r="D461" t="s">
        <v>799</v>
      </c>
      <c r="E461" t="s">
        <v>678</v>
      </c>
      <c r="F461">
        <v>0.995</v>
      </c>
      <c r="G461">
        <v>10</v>
      </c>
      <c r="H461">
        <v>200</v>
      </c>
      <c r="I461">
        <v>10</v>
      </c>
      <c r="J461">
        <v>97.47</v>
      </c>
      <c r="K461">
        <v>23.32</v>
      </c>
      <c r="L461" s="1" t="s">
        <v>1425</v>
      </c>
      <c r="M461" s="1" t="s">
        <v>1426</v>
      </c>
      <c r="N461" t="b">
        <v>0</v>
      </c>
      <c r="O461" s="1" t="s">
        <v>1226</v>
      </c>
      <c r="P461" s="1">
        <v>23.8002973246026</v>
      </c>
      <c r="Q461" s="1" t="s">
        <v>1427</v>
      </c>
    </row>
    <row r="462" spans="1:25" x14ac:dyDescent="0.2">
      <c r="A462">
        <v>4</v>
      </c>
      <c r="B462">
        <v>1.5</v>
      </c>
      <c r="C462">
        <v>244</v>
      </c>
      <c r="D462" t="s">
        <v>802</v>
      </c>
      <c r="E462" t="s">
        <v>678</v>
      </c>
      <c r="F462">
        <v>0</v>
      </c>
      <c r="G462">
        <v>0</v>
      </c>
      <c r="H462">
        <v>200</v>
      </c>
      <c r="I462">
        <v>0</v>
      </c>
      <c r="J462">
        <v>103.9</v>
      </c>
      <c r="K462">
        <v>0.61899999999999999</v>
      </c>
      <c r="L462" s="1" t="s">
        <v>1356</v>
      </c>
      <c r="M462" s="1" t="s">
        <v>1428</v>
      </c>
      <c r="N462" t="b">
        <v>1</v>
      </c>
      <c r="O462" s="1" t="s">
        <v>1226</v>
      </c>
      <c r="P462">
        <v>3.7601512951514898E-2</v>
      </c>
      <c r="Q462" t="e">
        <f>-inf</f>
        <v>#NAME?</v>
      </c>
      <c r="S462">
        <f>P462+P463+P464+P465+P466</f>
        <v>0.51763724617205964</v>
      </c>
    </row>
    <row r="463" spans="1:25" x14ac:dyDescent="0.2">
      <c r="A463">
        <v>4</v>
      </c>
      <c r="B463">
        <v>1.5</v>
      </c>
      <c r="C463">
        <v>245</v>
      </c>
      <c r="D463" t="s">
        <v>804</v>
      </c>
      <c r="E463" t="s">
        <v>678</v>
      </c>
      <c r="F463">
        <v>0</v>
      </c>
      <c r="G463">
        <v>0</v>
      </c>
      <c r="H463">
        <v>200</v>
      </c>
      <c r="I463">
        <v>0</v>
      </c>
      <c r="J463">
        <v>94.77</v>
      </c>
      <c r="K463">
        <v>0.46920000000000001</v>
      </c>
      <c r="L463" s="1" t="s">
        <v>1429</v>
      </c>
      <c r="M463">
        <v>0.50682355686619796</v>
      </c>
      <c r="N463" t="b">
        <v>1</v>
      </c>
      <c r="O463" s="1" t="s">
        <v>1226</v>
      </c>
      <c r="P463">
        <v>0.203045100327398</v>
      </c>
      <c r="Q463" t="e">
        <f>-inf</f>
        <v>#NAME?</v>
      </c>
    </row>
    <row r="464" spans="1:25" x14ac:dyDescent="0.2">
      <c r="A464">
        <v>4</v>
      </c>
      <c r="B464">
        <v>1.5</v>
      </c>
      <c r="C464">
        <v>246</v>
      </c>
      <c r="D464" t="s">
        <v>805</v>
      </c>
      <c r="E464" t="s">
        <v>678</v>
      </c>
      <c r="F464">
        <v>0</v>
      </c>
      <c r="G464">
        <v>0</v>
      </c>
      <c r="H464">
        <v>200</v>
      </c>
      <c r="I464">
        <v>0</v>
      </c>
      <c r="J464">
        <v>101.4</v>
      </c>
      <c r="K464">
        <v>0.59640000000000004</v>
      </c>
      <c r="L464" s="1" t="s">
        <v>1393</v>
      </c>
      <c r="M464" s="1" t="s">
        <v>1430</v>
      </c>
      <c r="N464" t="b">
        <v>1</v>
      </c>
      <c r="O464" s="1" t="s">
        <v>1226</v>
      </c>
      <c r="P464">
        <v>6.1343024791578799E-2</v>
      </c>
      <c r="Q464" t="e">
        <f>-inf</f>
        <v>#NAME?</v>
      </c>
    </row>
    <row r="465" spans="1:17" x14ac:dyDescent="0.2">
      <c r="A465">
        <v>4</v>
      </c>
      <c r="B465">
        <v>1.5</v>
      </c>
      <c r="C465">
        <v>247</v>
      </c>
      <c r="D465" t="s">
        <v>809</v>
      </c>
      <c r="E465" t="s">
        <v>678</v>
      </c>
      <c r="F465">
        <v>0</v>
      </c>
      <c r="G465">
        <v>0</v>
      </c>
      <c r="H465">
        <v>200</v>
      </c>
      <c r="I465">
        <v>0</v>
      </c>
      <c r="J465">
        <v>102.5</v>
      </c>
      <c r="K465">
        <v>0.58399999999999996</v>
      </c>
      <c r="L465" s="1" t="s">
        <v>1431</v>
      </c>
      <c r="M465">
        <v>0.58314404002845999</v>
      </c>
      <c r="N465" t="b">
        <v>1</v>
      </c>
      <c r="O465" s="1" t="s">
        <v>1226</v>
      </c>
      <c r="P465">
        <v>7.3064996109596894E-2</v>
      </c>
      <c r="Q465" t="e">
        <f>-inf</f>
        <v>#NAME?</v>
      </c>
    </row>
    <row r="466" spans="1:17" x14ac:dyDescent="0.2">
      <c r="A466">
        <v>4</v>
      </c>
      <c r="B466">
        <v>1.5</v>
      </c>
      <c r="C466">
        <v>248</v>
      </c>
      <c r="D466" t="s">
        <v>813</v>
      </c>
      <c r="E466" t="s">
        <v>678</v>
      </c>
      <c r="F466">
        <v>0</v>
      </c>
      <c r="G466">
        <v>0</v>
      </c>
      <c r="H466">
        <v>200</v>
      </c>
      <c r="I466">
        <v>0</v>
      </c>
      <c r="J466">
        <v>99.12</v>
      </c>
      <c r="K466">
        <v>0.51910000000000001</v>
      </c>
      <c r="L466" s="1" t="s">
        <v>1432</v>
      </c>
      <c r="M466">
        <v>0.53605729852885298</v>
      </c>
      <c r="N466" t="b">
        <v>1</v>
      </c>
      <c r="O466" s="1" t="s">
        <v>1226</v>
      </c>
      <c r="P466">
        <v>0.142582611991971</v>
      </c>
      <c r="Q466" t="e">
        <f>-inf</f>
        <v>#NAME?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beads_data_with_dose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Keating</cp:lastModifiedBy>
  <dcterms:created xsi:type="dcterms:W3CDTF">2026-03-13T16:08:40Z</dcterms:created>
  <dcterms:modified xsi:type="dcterms:W3CDTF">2026-03-16T13:25:58Z</dcterms:modified>
</cp:coreProperties>
</file>